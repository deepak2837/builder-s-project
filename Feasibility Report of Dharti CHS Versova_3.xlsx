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weety Badra\AIL\Redevelopment Project\18.Dharti CHS Ltd\"/>
    </mc:Choice>
  </mc:AlternateContent>
  <xr:revisionPtr revIDLastSave="0" documentId="13_ncr:1_{A24C0747-0D9C-4F90-A773-DFC5DC3D9864}" xr6:coauthVersionLast="47" xr6:coauthVersionMax="47" xr10:uidLastSave="{00000000-0000-0000-0000-000000000000}"/>
  <bookViews>
    <workbookView xWindow="-108" yWindow="-108" windowWidth="23256" windowHeight="12456" xr2:uid="{47C62C72-9FF4-457A-874D-97D88CC8710C}"/>
    <workbookView xWindow="-108" yWindow="-108" windowWidth="23256" windowHeight="12456" activeTab="1" xr2:uid="{9121232B-57A2-4986-A726-CEEB7A02834F}"/>
  </bookViews>
  <sheets>
    <sheet name="Summary P&amp;L" sheetId="4" r:id="rId1"/>
    <sheet name="Feasibility Report" sheetId="1" r:id="rId2"/>
    <sheet name="Area &amp; Cmpsn to Exstng Mmbr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6" i="4" l="1"/>
  <c r="Q65" i="4"/>
  <c r="O68" i="4"/>
  <c r="N11" i="4"/>
  <c r="O11" i="4" s="1"/>
  <c r="P11" i="4" s="1"/>
  <c r="M11" i="4"/>
  <c r="L11" i="4"/>
  <c r="P79" i="4" l="1"/>
  <c r="O79" i="4"/>
  <c r="N79" i="4"/>
  <c r="M79" i="4"/>
  <c r="L79" i="4"/>
  <c r="U61" i="4" l="1"/>
  <c r="U60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7" i="4"/>
  <c r="U26" i="4"/>
  <c r="U25" i="4"/>
  <c r="U23" i="4"/>
  <c r="U22" i="4"/>
  <c r="U21" i="4"/>
  <c r="U20" i="4"/>
  <c r="U19" i="4"/>
  <c r="U18" i="4"/>
  <c r="U17" i="4"/>
  <c r="U16" i="4"/>
  <c r="T61" i="4"/>
  <c r="T60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7" i="4"/>
  <c r="T26" i="4"/>
  <c r="T25" i="4"/>
  <c r="T23" i="4"/>
  <c r="T22" i="4"/>
  <c r="T21" i="4"/>
  <c r="T20" i="4"/>
  <c r="T19" i="4"/>
  <c r="T18" i="4"/>
  <c r="T17" i="4"/>
  <c r="T16" i="4"/>
  <c r="S61" i="4"/>
  <c r="S60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7" i="4"/>
  <c r="S26" i="4"/>
  <c r="S25" i="4"/>
  <c r="S23" i="4"/>
  <c r="S22" i="4"/>
  <c r="S21" i="4"/>
  <c r="S20" i="4"/>
  <c r="S19" i="4"/>
  <c r="S18" i="4"/>
  <c r="S17" i="4"/>
  <c r="S16" i="4"/>
  <c r="R61" i="4"/>
  <c r="R60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7" i="4"/>
  <c r="R26" i="4"/>
  <c r="R25" i="4"/>
  <c r="R23" i="4"/>
  <c r="R22" i="4"/>
  <c r="R21" i="4"/>
  <c r="R20" i="4"/>
  <c r="R19" i="4"/>
  <c r="R18" i="4"/>
  <c r="R17" i="4"/>
  <c r="R16" i="4"/>
  <c r="Q61" i="4"/>
  <c r="Q60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7" i="4"/>
  <c r="Q26" i="4"/>
  <c r="Q25" i="4"/>
  <c r="Q23" i="4"/>
  <c r="Q22" i="4"/>
  <c r="Q21" i="4"/>
  <c r="Q20" i="4"/>
  <c r="Q19" i="4"/>
  <c r="Q18" i="4"/>
  <c r="Q17" i="4"/>
  <c r="Q16" i="4"/>
  <c r="P58" i="4"/>
  <c r="O58" i="4"/>
  <c r="N58" i="4"/>
  <c r="M58" i="4"/>
  <c r="L58" i="4"/>
  <c r="G2" i="4"/>
  <c r="F2" i="4"/>
  <c r="E2" i="4"/>
  <c r="D2" i="4"/>
  <c r="C2" i="4"/>
  <c r="G3" i="4"/>
  <c r="F3" i="4"/>
  <c r="E3" i="4"/>
  <c r="D3" i="4"/>
  <c r="C3" i="4"/>
  <c r="N61" i="4"/>
  <c r="O61" i="4" s="1"/>
  <c r="P61" i="4" s="1"/>
  <c r="M61" i="4"/>
  <c r="L61" i="4"/>
  <c r="N60" i="4"/>
  <c r="O60" i="4" s="1"/>
  <c r="P60" i="4" s="1"/>
  <c r="M60" i="4"/>
  <c r="L60" i="4"/>
  <c r="D38" i="4"/>
  <c r="D37" i="4"/>
  <c r="D36" i="4"/>
  <c r="D35" i="4"/>
  <c r="D34" i="4"/>
  <c r="D30" i="4"/>
  <c r="D29" i="4"/>
  <c r="E35" i="4" l="1"/>
  <c r="F35" i="4" s="1"/>
  <c r="E34" i="4"/>
  <c r="C31" i="4"/>
  <c r="D31" i="4"/>
  <c r="F34" i="4" l="1"/>
  <c r="F39" i="4" s="1"/>
  <c r="F40" i="4" s="1"/>
  <c r="E39" i="4"/>
  <c r="E40" i="4" s="1"/>
  <c r="D39" i="4"/>
  <c r="D40" i="4" s="1"/>
  <c r="F41" i="4" s="1"/>
  <c r="P56" i="4" l="1"/>
  <c r="O56" i="4"/>
  <c r="N56" i="4"/>
  <c r="M56" i="4"/>
  <c r="L56" i="4"/>
  <c r="P55" i="4"/>
  <c r="O55" i="4"/>
  <c r="N55" i="4"/>
  <c r="M55" i="4"/>
  <c r="L55" i="4"/>
  <c r="M54" i="4"/>
  <c r="N54" i="4" s="1"/>
  <c r="O54" i="4" s="1"/>
  <c r="P54" i="4" s="1"/>
  <c r="L54" i="4"/>
  <c r="N53" i="4"/>
  <c r="O53" i="4" s="1"/>
  <c r="P53" i="4" s="1"/>
  <c r="M53" i="4"/>
  <c r="L53" i="4"/>
  <c r="M51" i="4"/>
  <c r="N51" i="4" s="1"/>
  <c r="O51" i="4" s="1"/>
  <c r="P51" i="4" s="1"/>
  <c r="L51" i="4"/>
  <c r="M50" i="4"/>
  <c r="N50" i="4" s="1"/>
  <c r="O50" i="4" s="1"/>
  <c r="P50" i="4" s="1"/>
  <c r="L50" i="4"/>
  <c r="L49" i="4"/>
  <c r="M49" i="4" s="1"/>
  <c r="N49" i="4" s="1"/>
  <c r="O49" i="4" s="1"/>
  <c r="P49" i="4" s="1"/>
  <c r="L48" i="4"/>
  <c r="M48" i="4" s="1"/>
  <c r="N48" i="4" s="1"/>
  <c r="O48" i="4" s="1"/>
  <c r="P48" i="4" s="1"/>
  <c r="L47" i="4"/>
  <c r="M47" i="4" s="1"/>
  <c r="N47" i="4" s="1"/>
  <c r="O47" i="4" s="1"/>
  <c r="P47" i="4" s="1"/>
  <c r="N46" i="4"/>
  <c r="O46" i="4" s="1"/>
  <c r="P46" i="4" s="1"/>
  <c r="M46" i="4"/>
  <c r="L46" i="4"/>
  <c r="N45" i="4"/>
  <c r="O45" i="4" s="1"/>
  <c r="P45" i="4" s="1"/>
  <c r="M45" i="4"/>
  <c r="L45" i="4"/>
  <c r="M44" i="4"/>
  <c r="N44" i="4" s="1"/>
  <c r="O44" i="4" s="1"/>
  <c r="P44" i="4" s="1"/>
  <c r="L44" i="4"/>
  <c r="M43" i="4"/>
  <c r="N43" i="4" s="1"/>
  <c r="O43" i="4" s="1"/>
  <c r="P43" i="4" s="1"/>
  <c r="L43" i="4"/>
  <c r="M42" i="4"/>
  <c r="N42" i="4" s="1"/>
  <c r="O42" i="4" s="1"/>
  <c r="P42" i="4" s="1"/>
  <c r="L42" i="4"/>
  <c r="L41" i="4"/>
  <c r="M41" i="4" s="1"/>
  <c r="N41" i="4" s="1"/>
  <c r="O41" i="4" s="1"/>
  <c r="P41" i="4" s="1"/>
  <c r="L40" i="4"/>
  <c r="M40" i="4" s="1"/>
  <c r="N40" i="4" s="1"/>
  <c r="O40" i="4" s="1"/>
  <c r="P40" i="4" s="1"/>
  <c r="L39" i="4"/>
  <c r="M39" i="4" s="1"/>
  <c r="N39" i="4" s="1"/>
  <c r="O39" i="4" s="1"/>
  <c r="P39" i="4" s="1"/>
  <c r="N38" i="4"/>
  <c r="O38" i="4" s="1"/>
  <c r="P38" i="4" s="1"/>
  <c r="M38" i="4"/>
  <c r="L38" i="4"/>
  <c r="N37" i="4"/>
  <c r="O37" i="4" s="1"/>
  <c r="P37" i="4" s="1"/>
  <c r="M37" i="4"/>
  <c r="L37" i="4"/>
  <c r="M36" i="4"/>
  <c r="N36" i="4" s="1"/>
  <c r="O36" i="4" s="1"/>
  <c r="P36" i="4" s="1"/>
  <c r="L36" i="4"/>
  <c r="M35" i="4"/>
  <c r="N35" i="4" s="1"/>
  <c r="O35" i="4" s="1"/>
  <c r="P35" i="4" s="1"/>
  <c r="L35" i="4"/>
  <c r="M34" i="4"/>
  <c r="N34" i="4" s="1"/>
  <c r="O34" i="4" s="1"/>
  <c r="P34" i="4" s="1"/>
  <c r="L34" i="4"/>
  <c r="L33" i="4"/>
  <c r="M33" i="4" s="1"/>
  <c r="N33" i="4" s="1"/>
  <c r="O33" i="4" s="1"/>
  <c r="P33" i="4" s="1"/>
  <c r="L32" i="4"/>
  <c r="M32" i="4" s="1"/>
  <c r="N32" i="4" s="1"/>
  <c r="O32" i="4" s="1"/>
  <c r="P32" i="4" s="1"/>
  <c r="L31" i="4"/>
  <c r="M31" i="4" s="1"/>
  <c r="N31" i="4" s="1"/>
  <c r="O31" i="4" s="1"/>
  <c r="P31" i="4" s="1"/>
  <c r="N30" i="4"/>
  <c r="O30" i="4" s="1"/>
  <c r="P30" i="4" s="1"/>
  <c r="M30" i="4"/>
  <c r="L30" i="4"/>
  <c r="N29" i="4"/>
  <c r="O29" i="4" s="1"/>
  <c r="P29" i="4" s="1"/>
  <c r="M29" i="4"/>
  <c r="L29" i="4"/>
  <c r="J36" i="4"/>
  <c r="L27" i="4"/>
  <c r="P27" i="4"/>
  <c r="O27" i="4"/>
  <c r="N27" i="4"/>
  <c r="M27" i="4"/>
  <c r="P26" i="4"/>
  <c r="O26" i="4"/>
  <c r="N26" i="4"/>
  <c r="M26" i="4"/>
  <c r="L26" i="4"/>
  <c r="P25" i="4"/>
  <c r="O25" i="4"/>
  <c r="N25" i="4"/>
  <c r="M25" i="4"/>
  <c r="L25" i="4"/>
  <c r="L23" i="4"/>
  <c r="P23" i="4"/>
  <c r="O23" i="4"/>
  <c r="N23" i="4"/>
  <c r="M23" i="4"/>
  <c r="L22" i="4"/>
  <c r="P22" i="4"/>
  <c r="O22" i="4"/>
  <c r="N22" i="4"/>
  <c r="M22" i="4"/>
  <c r="P21" i="4"/>
  <c r="O21" i="4"/>
  <c r="N21" i="4"/>
  <c r="M21" i="4"/>
  <c r="L21" i="4"/>
  <c r="O20" i="4"/>
  <c r="P20" i="4" s="1"/>
  <c r="N20" i="4"/>
  <c r="M20" i="4"/>
  <c r="L20" i="4"/>
  <c r="P19" i="4"/>
  <c r="O19" i="4"/>
  <c r="N19" i="4"/>
  <c r="M19" i="4"/>
  <c r="L19" i="4"/>
  <c r="P18" i="4"/>
  <c r="O18" i="4"/>
  <c r="N18" i="4"/>
  <c r="M18" i="4"/>
  <c r="L18" i="4"/>
  <c r="L17" i="4"/>
  <c r="L16" i="4"/>
  <c r="M16" i="4" s="1"/>
  <c r="N16" i="4" s="1"/>
  <c r="O16" i="4" s="1"/>
  <c r="P16" i="4" s="1"/>
  <c r="M17" i="4"/>
  <c r="N17" i="4" s="1"/>
  <c r="O17" i="4" s="1"/>
  <c r="P17" i="4" s="1"/>
  <c r="K16" i="4"/>
  <c r="G20" i="4"/>
  <c r="D20" i="4"/>
  <c r="D21" i="4" s="1"/>
  <c r="C20" i="4"/>
  <c r="C21" i="4" s="1"/>
  <c r="O28" i="1"/>
  <c r="O53" i="1"/>
  <c r="G15" i="4"/>
  <c r="G16" i="4" s="1"/>
  <c r="G18" i="4" s="1"/>
  <c r="G14" i="4"/>
  <c r="F14" i="4"/>
  <c r="E14" i="4"/>
  <c r="D14" i="4"/>
  <c r="C14" i="4"/>
  <c r="G13" i="4"/>
  <c r="F13" i="4"/>
  <c r="F15" i="4" s="1"/>
  <c r="F16" i="4" s="1"/>
  <c r="F18" i="4" s="1"/>
  <c r="E13" i="4"/>
  <c r="E15" i="4" s="1"/>
  <c r="E16" i="4" s="1"/>
  <c r="E18" i="4" s="1"/>
  <c r="D13" i="4"/>
  <c r="D15" i="4" s="1"/>
  <c r="D16" i="4" s="1"/>
  <c r="D18" i="4" s="1"/>
  <c r="C13" i="4"/>
  <c r="G12" i="4"/>
  <c r="F12" i="4"/>
  <c r="E12" i="4"/>
  <c r="D12" i="4"/>
  <c r="C12" i="4"/>
  <c r="G10" i="4"/>
  <c r="F10" i="4"/>
  <c r="E10" i="4"/>
  <c r="D10" i="4"/>
  <c r="C10" i="4"/>
  <c r="G8" i="4"/>
  <c r="F8" i="4"/>
  <c r="E8" i="4"/>
  <c r="D8" i="4"/>
  <c r="C8" i="4"/>
  <c r="B8" i="4"/>
  <c r="G7" i="4"/>
  <c r="F7" i="4"/>
  <c r="F20" i="4" s="1"/>
  <c r="E7" i="4"/>
  <c r="E20" i="4" s="1"/>
  <c r="D7" i="4"/>
  <c r="C7" i="4"/>
  <c r="G6" i="4"/>
  <c r="F6" i="4"/>
  <c r="E6" i="4"/>
  <c r="D6" i="4"/>
  <c r="C6" i="4"/>
  <c r="E21" i="4" l="1"/>
  <c r="E22" i="4" s="1"/>
  <c r="F21" i="4"/>
  <c r="F22" i="4" s="1"/>
  <c r="G22" i="4"/>
  <c r="C22" i="4"/>
  <c r="G21" i="4"/>
  <c r="D22" i="4"/>
  <c r="C15" i="4"/>
  <c r="C16" i="4" s="1"/>
  <c r="C18" i="4" s="1"/>
  <c r="G5" i="4"/>
  <c r="F5" i="4"/>
  <c r="E5" i="4"/>
  <c r="D5" i="4"/>
  <c r="C5" i="4"/>
  <c r="T101" i="1"/>
  <c r="N108" i="1"/>
  <c r="N14" i="4" l="1"/>
  <c r="E24" i="4"/>
  <c r="E25" i="4" s="1"/>
  <c r="E26" i="4" s="1"/>
  <c r="N6" i="4" s="1"/>
  <c r="N9" i="4" s="1"/>
  <c r="N12" i="4" s="1"/>
  <c r="N57" i="4" s="1"/>
  <c r="O14" i="4"/>
  <c r="F24" i="4"/>
  <c r="F25" i="4" s="1"/>
  <c r="F26" i="4" s="1"/>
  <c r="O6" i="4" s="1"/>
  <c r="O9" i="4" s="1"/>
  <c r="O12" i="4" s="1"/>
  <c r="O57" i="4" s="1"/>
  <c r="G24" i="4"/>
  <c r="G25" i="4" s="1"/>
  <c r="G26" i="4" s="1"/>
  <c r="P6" i="4" s="1"/>
  <c r="P9" i="4" s="1"/>
  <c r="P12" i="4" s="1"/>
  <c r="P57" i="4" s="1"/>
  <c r="P14" i="4"/>
  <c r="M14" i="4"/>
  <c r="D24" i="4"/>
  <c r="D25" i="4" s="1"/>
  <c r="D26" i="4" s="1"/>
  <c r="M6" i="4" s="1"/>
  <c r="M9" i="4" s="1"/>
  <c r="M12" i="4" s="1"/>
  <c r="M57" i="4" s="1"/>
  <c r="C24" i="4"/>
  <c r="C25" i="4" s="1"/>
  <c r="C26" i="4" s="1"/>
  <c r="L6" i="4" s="1"/>
  <c r="L9" i="4" s="1"/>
  <c r="L14" i="4"/>
  <c r="H22" i="4"/>
  <c r="O29" i="1"/>
  <c r="Q37" i="1"/>
  <c r="T29" i="1"/>
  <c r="S29" i="1"/>
  <c r="R29" i="1"/>
  <c r="Q29" i="1"/>
  <c r="T25" i="1"/>
  <c r="S25" i="1"/>
  <c r="R25" i="1"/>
  <c r="O25" i="1"/>
  <c r="R19" i="1"/>
  <c r="R37" i="1" s="1"/>
  <c r="R18" i="1"/>
  <c r="S18" i="1" s="1"/>
  <c r="T18" i="1" s="1"/>
  <c r="R17" i="1"/>
  <c r="S17" i="1" s="1"/>
  <c r="T17" i="1" s="1"/>
  <c r="R5" i="1"/>
  <c r="S5" i="1" s="1"/>
  <c r="T5" i="1" s="1"/>
  <c r="Q25" i="1"/>
  <c r="Q20" i="1"/>
  <c r="Q21" i="1" s="1"/>
  <c r="Q28" i="1" s="1"/>
  <c r="Q30" i="1" s="1"/>
  <c r="Q6" i="1"/>
  <c r="Q39" i="1" s="1"/>
  <c r="Q41" i="1" s="1"/>
  <c r="Q43" i="1" s="1"/>
  <c r="Q44" i="1" s="1"/>
  <c r="Q46" i="1" s="1"/>
  <c r="V121" i="1"/>
  <c r="V122" i="1" s="1"/>
  <c r="I72" i="1"/>
  <c r="I65" i="1"/>
  <c r="H18" i="3"/>
  <c r="H17" i="3"/>
  <c r="H16" i="3"/>
  <c r="H25" i="3"/>
  <c r="U98" i="1"/>
  <c r="U100" i="1"/>
  <c r="U101" i="1"/>
  <c r="U110" i="1"/>
  <c r="U77" i="1"/>
  <c r="U79" i="1"/>
  <c r="U82" i="1"/>
  <c r="U84" i="1"/>
  <c r="U92" i="1"/>
  <c r="U94" i="1"/>
  <c r="U96" i="1"/>
  <c r="U97" i="1"/>
  <c r="U74" i="1"/>
  <c r="U70" i="1"/>
  <c r="U57" i="4" l="1"/>
  <c r="U63" i="4" s="1"/>
  <c r="S57" i="4"/>
  <c r="S63" i="4" s="1"/>
  <c r="T57" i="4"/>
  <c r="T63" i="4" s="1"/>
  <c r="R57" i="4"/>
  <c r="R63" i="4" s="1"/>
  <c r="L12" i="4"/>
  <c r="Q9" i="4"/>
  <c r="S19" i="1"/>
  <c r="S37" i="1" s="1"/>
  <c r="R6" i="1"/>
  <c r="T19" i="1"/>
  <c r="T37" i="1" s="1"/>
  <c r="R20" i="1"/>
  <c r="Q47" i="1"/>
  <c r="Q49" i="1" s="1"/>
  <c r="C7" i="3"/>
  <c r="C8" i="3" s="1"/>
  <c r="D8" i="3" s="1"/>
  <c r="D6" i="3"/>
  <c r="D5" i="3"/>
  <c r="D4" i="3"/>
  <c r="N103" i="1"/>
  <c r="O103" i="1" s="1"/>
  <c r="T103" i="1" s="1"/>
  <c r="U103" i="1" s="1"/>
  <c r="V100" i="1"/>
  <c r="Q99" i="1"/>
  <c r="T99" i="1" s="1"/>
  <c r="U99" i="1" s="1"/>
  <c r="T93" i="1"/>
  <c r="U93" i="1" s="1"/>
  <c r="T91" i="1"/>
  <c r="U91" i="1" s="1"/>
  <c r="T85" i="1"/>
  <c r="U85" i="1" s="1"/>
  <c r="O37" i="1"/>
  <c r="T115" i="1"/>
  <c r="U115" i="1" s="1"/>
  <c r="T107" i="1"/>
  <c r="U107" i="1" s="1"/>
  <c r="N104" i="1"/>
  <c r="O104" i="1" s="1"/>
  <c r="T104" i="1" s="1"/>
  <c r="U104" i="1" s="1"/>
  <c r="V101" i="1"/>
  <c r="T81" i="1"/>
  <c r="U81" i="1" s="1"/>
  <c r="T78" i="1"/>
  <c r="U78" i="1" s="1"/>
  <c r="K61" i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O61" i="1"/>
  <c r="T61" i="1" s="1"/>
  <c r="N70" i="4" l="1"/>
  <c r="N62" i="4"/>
  <c r="N63" i="4" s="1"/>
  <c r="N65" i="4" s="1"/>
  <c r="P62" i="4"/>
  <c r="P63" i="4" s="1"/>
  <c r="P65" i="4" s="1"/>
  <c r="P70" i="4"/>
  <c r="O62" i="4"/>
  <c r="O63" i="4" s="1"/>
  <c r="O65" i="4" s="1"/>
  <c r="O70" i="4"/>
  <c r="M70" i="4"/>
  <c r="M62" i="4"/>
  <c r="M63" i="4" s="1"/>
  <c r="M65" i="4" s="1"/>
  <c r="G57" i="4"/>
  <c r="L57" i="4"/>
  <c r="R46" i="1"/>
  <c r="R47" i="1" s="1"/>
  <c r="R49" i="1" s="1"/>
  <c r="S6" i="1"/>
  <c r="R21" i="1"/>
  <c r="R28" i="1" s="1"/>
  <c r="R30" i="1" s="1"/>
  <c r="S20" i="1"/>
  <c r="R48" i="1"/>
  <c r="C15" i="3"/>
  <c r="D15" i="3" s="1"/>
  <c r="H15" i="3" s="1"/>
  <c r="Q48" i="1"/>
  <c r="V64" i="1"/>
  <c r="U61" i="1"/>
  <c r="C9" i="3"/>
  <c r="D7" i="3"/>
  <c r="D14" i="3" s="1"/>
  <c r="H14" i="3" s="1"/>
  <c r="P40" i="1"/>
  <c r="P29" i="1"/>
  <c r="P25" i="1"/>
  <c r="O20" i="1"/>
  <c r="P20" i="1" s="1"/>
  <c r="P19" i="1"/>
  <c r="P18" i="1"/>
  <c r="P17" i="1"/>
  <c r="N10" i="1"/>
  <c r="O6" i="1"/>
  <c r="P5" i="1"/>
  <c r="P6" i="1" s="1"/>
  <c r="E51" i="1"/>
  <c r="E50" i="1"/>
  <c r="E52" i="1"/>
  <c r="D44" i="1"/>
  <c r="E44" i="1" s="1"/>
  <c r="E43" i="1"/>
  <c r="E47" i="1" s="1"/>
  <c r="E42" i="1"/>
  <c r="E46" i="1" s="1"/>
  <c r="D32" i="1"/>
  <c r="E32" i="1" s="1"/>
  <c r="E31" i="1"/>
  <c r="D28" i="1"/>
  <c r="D29" i="1" s="1"/>
  <c r="D38" i="1" s="1"/>
  <c r="E27" i="1"/>
  <c r="F27" i="1" s="1"/>
  <c r="G22" i="1"/>
  <c r="G25" i="1" s="1"/>
  <c r="E22" i="1"/>
  <c r="D18" i="1"/>
  <c r="D21" i="1" s="1"/>
  <c r="E21" i="1" s="1"/>
  <c r="D10" i="1"/>
  <c r="D6" i="1"/>
  <c r="D23" i="1" s="1"/>
  <c r="E23" i="1" s="1"/>
  <c r="E5" i="1"/>
  <c r="E6" i="1" s="1"/>
  <c r="E14" i="1" s="1"/>
  <c r="E16" i="1" s="1"/>
  <c r="O66" i="4" l="1"/>
  <c r="O67" i="4"/>
  <c r="O72" i="4" s="1"/>
  <c r="O76" i="4" s="1"/>
  <c r="O71" i="4"/>
  <c r="O75" i="4" s="1"/>
  <c r="N71" i="4"/>
  <c r="N75" i="4" s="1"/>
  <c r="N66" i="4"/>
  <c r="N67" i="4" s="1"/>
  <c r="N72" i="4" s="1"/>
  <c r="N76" i="4" s="1"/>
  <c r="P66" i="4"/>
  <c r="P71" i="4"/>
  <c r="P75" i="4" s="1"/>
  <c r="P67" i="4"/>
  <c r="P72" i="4" s="1"/>
  <c r="P76" i="4" s="1"/>
  <c r="M66" i="4"/>
  <c r="M67" i="4"/>
  <c r="M72" i="4" s="1"/>
  <c r="M76" i="4" s="1"/>
  <c r="M71" i="4"/>
  <c r="M75" i="4" s="1"/>
  <c r="Q57" i="4"/>
  <c r="Q63" i="4" s="1"/>
  <c r="T6" i="1"/>
  <c r="T46" i="1" s="1"/>
  <c r="S46" i="1"/>
  <c r="S47" i="1" s="1"/>
  <c r="S49" i="1" s="1"/>
  <c r="R51" i="1"/>
  <c r="R53" i="1"/>
  <c r="R55" i="1" s="1"/>
  <c r="S48" i="1"/>
  <c r="O46" i="1"/>
  <c r="T39" i="1"/>
  <c r="T41" i="1" s="1"/>
  <c r="T43" i="1" s="1"/>
  <c r="T44" i="1" s="1"/>
  <c r="S39" i="1"/>
  <c r="S41" i="1" s="1"/>
  <c r="S43" i="1" s="1"/>
  <c r="S44" i="1" s="1"/>
  <c r="O39" i="1"/>
  <c r="R39" i="1"/>
  <c r="R41" i="1" s="1"/>
  <c r="R43" i="1" s="1"/>
  <c r="R44" i="1" s="1"/>
  <c r="S21" i="1"/>
  <c r="S28" i="1" s="1"/>
  <c r="S30" i="1" s="1"/>
  <c r="T20" i="1"/>
  <c r="T21" i="1" s="1"/>
  <c r="T28" i="1" s="1"/>
  <c r="T30" i="1" s="1"/>
  <c r="H19" i="3"/>
  <c r="Q51" i="1"/>
  <c r="Q53" i="1"/>
  <c r="Q55" i="1" s="1"/>
  <c r="D9" i="3"/>
  <c r="C10" i="3"/>
  <c r="D10" i="3" s="1"/>
  <c r="P37" i="1"/>
  <c r="N79" i="1"/>
  <c r="O105" i="1"/>
  <c r="T105" i="1" s="1"/>
  <c r="U105" i="1" s="1"/>
  <c r="O102" i="1"/>
  <c r="T102" i="1" s="1"/>
  <c r="U102" i="1" s="1"/>
  <c r="N13" i="1"/>
  <c r="N90" i="1"/>
  <c r="T90" i="1" s="1"/>
  <c r="U90" i="1" s="1"/>
  <c r="O21" i="1"/>
  <c r="D24" i="1"/>
  <c r="E24" i="1" s="1"/>
  <c r="E25" i="1" s="1"/>
  <c r="E28" i="1"/>
  <c r="E29" i="1" s="1"/>
  <c r="E33" i="1"/>
  <c r="D33" i="1"/>
  <c r="E53" i="1"/>
  <c r="E54" i="1" s="1"/>
  <c r="E18" i="1"/>
  <c r="D14" i="1"/>
  <c r="D16" i="1" s="1"/>
  <c r="E38" i="1"/>
  <c r="L62" i="4" l="1"/>
  <c r="L63" i="4" s="1"/>
  <c r="L65" i="4" s="1"/>
  <c r="L70" i="4"/>
  <c r="T47" i="1"/>
  <c r="T49" i="1" s="1"/>
  <c r="S51" i="1"/>
  <c r="S53" i="1"/>
  <c r="S55" i="1" s="1"/>
  <c r="O34" i="1"/>
  <c r="T32" i="1"/>
  <c r="T24" i="1"/>
  <c r="T26" i="1" s="1"/>
  <c r="S32" i="1"/>
  <c r="S24" i="1"/>
  <c r="S26" i="1" s="1"/>
  <c r="S34" i="1"/>
  <c r="S35" i="1" s="1"/>
  <c r="R32" i="1"/>
  <c r="R24" i="1"/>
  <c r="R26" i="1" s="1"/>
  <c r="T34" i="1"/>
  <c r="T35" i="1" s="1"/>
  <c r="Q32" i="1"/>
  <c r="Q24" i="1"/>
  <c r="Q26" i="1" s="1"/>
  <c r="O32" i="1"/>
  <c r="R34" i="1"/>
  <c r="R35" i="1" s="1"/>
  <c r="Q34" i="1"/>
  <c r="Q35" i="1" s="1"/>
  <c r="N80" i="1"/>
  <c r="P28" i="1"/>
  <c r="O24" i="1"/>
  <c r="N82" i="1"/>
  <c r="M82" i="1" s="1"/>
  <c r="T80" i="1"/>
  <c r="U80" i="1" s="1"/>
  <c r="O35" i="1"/>
  <c r="N87" i="1" s="1"/>
  <c r="P21" i="1"/>
  <c r="O41" i="1"/>
  <c r="P39" i="1"/>
  <c r="D25" i="1"/>
  <c r="F25" i="1" s="1"/>
  <c r="E35" i="1"/>
  <c r="D39" i="1"/>
  <c r="D35" i="1"/>
  <c r="F53" i="1"/>
  <c r="F54" i="1" s="1"/>
  <c r="G53" i="1"/>
  <c r="G54" i="1" s="1"/>
  <c r="L71" i="4" l="1"/>
  <c r="L75" i="4" s="1"/>
  <c r="L66" i="4"/>
  <c r="L67" i="4" s="1"/>
  <c r="L72" i="4" s="1"/>
  <c r="L76" i="4" s="1"/>
  <c r="T48" i="1"/>
  <c r="O30" i="1"/>
  <c r="T108" i="1" s="1"/>
  <c r="U108" i="1" s="1"/>
  <c r="P34" i="1"/>
  <c r="P35" i="1"/>
  <c r="T87" i="1"/>
  <c r="U87" i="1" s="1"/>
  <c r="N66" i="1"/>
  <c r="T66" i="1" s="1"/>
  <c r="U66" i="1" s="1"/>
  <c r="N65" i="1"/>
  <c r="P32" i="1"/>
  <c r="N68" i="1"/>
  <c r="T68" i="1" s="1"/>
  <c r="U68" i="1" s="1"/>
  <c r="O26" i="1"/>
  <c r="P24" i="1"/>
  <c r="P26" i="1" s="1"/>
  <c r="P41" i="1"/>
  <c r="O43" i="1"/>
  <c r="E39" i="1"/>
  <c r="E40" i="1" s="1"/>
  <c r="D40" i="1"/>
  <c r="G55" i="1"/>
  <c r="T51" i="1" l="1"/>
  <c r="T53" i="1"/>
  <c r="T55" i="1" s="1"/>
  <c r="P30" i="1"/>
  <c r="N73" i="1"/>
  <c r="T73" i="1" s="1"/>
  <c r="U73" i="1" s="1"/>
  <c r="N71" i="1"/>
  <c r="T71" i="1" s="1"/>
  <c r="T65" i="1"/>
  <c r="V67" i="1"/>
  <c r="V68" i="1" s="1"/>
  <c r="P43" i="1"/>
  <c r="O44" i="1"/>
  <c r="U71" i="1" l="1"/>
  <c r="I71" i="1"/>
  <c r="T67" i="1"/>
  <c r="U67" i="1" s="1"/>
  <c r="U65" i="1"/>
  <c r="T72" i="1"/>
  <c r="U72" i="1" s="1"/>
  <c r="P44" i="1"/>
  <c r="O47" i="1" l="1"/>
  <c r="P46" i="1"/>
  <c r="O48" i="1" l="1"/>
  <c r="O49" i="1"/>
  <c r="N69" i="1" s="1"/>
  <c r="P47" i="1"/>
  <c r="V49" i="1" l="1"/>
  <c r="N77" i="1"/>
  <c r="O77" i="1" s="1"/>
  <c r="N76" i="1"/>
  <c r="O76" i="1" s="1"/>
  <c r="T76" i="1" s="1"/>
  <c r="U76" i="1" s="1"/>
  <c r="N75" i="1"/>
  <c r="P49" i="1"/>
  <c r="T69" i="1"/>
  <c r="U69" i="1" s="1"/>
  <c r="P48" i="1"/>
  <c r="W49" i="1" s="1"/>
  <c r="O51" i="1"/>
  <c r="N86" i="1" l="1"/>
  <c r="T86" i="1" s="1"/>
  <c r="U86" i="1" s="1"/>
  <c r="N83" i="1"/>
  <c r="T83" i="1" s="1"/>
  <c r="U83" i="1" s="1"/>
  <c r="N95" i="1"/>
  <c r="T95" i="1" s="1"/>
  <c r="U95" i="1" s="1"/>
  <c r="N89" i="1"/>
  <c r="T89" i="1" s="1"/>
  <c r="U89" i="1" s="1"/>
  <c r="N88" i="1"/>
  <c r="T88" i="1" s="1"/>
  <c r="U88" i="1" s="1"/>
  <c r="T75" i="1"/>
  <c r="U75" i="1" s="1"/>
  <c r="O75" i="1"/>
  <c r="P51" i="1"/>
  <c r="N60" i="1"/>
  <c r="O60" i="1" s="1"/>
  <c r="T60" i="1" s="1"/>
  <c r="U60" i="1" s="1"/>
  <c r="P53" i="1"/>
  <c r="O55" i="1"/>
  <c r="N113" i="1" s="1"/>
  <c r="C33" i="3" l="1"/>
  <c r="T62" i="1"/>
  <c r="U62" i="1" s="1"/>
  <c r="T64" i="1"/>
  <c r="U64" i="1" s="1"/>
  <c r="T63" i="1"/>
  <c r="U63" i="1" s="1"/>
  <c r="P55" i="1"/>
  <c r="O113" i="1"/>
  <c r="T113" i="1" l="1"/>
  <c r="T116" i="1" s="1"/>
  <c r="U106" i="1" s="1"/>
  <c r="U111" i="1" s="1"/>
  <c r="T120" i="1" s="1"/>
  <c r="U113" i="1"/>
  <c r="U116" i="1" s="1"/>
  <c r="T111" i="1"/>
  <c r="C34" i="3"/>
  <c r="U117" i="1" l="1"/>
  <c r="U118" i="1" s="1"/>
  <c r="T117" i="1"/>
  <c r="C35" i="3"/>
  <c r="C36" i="3" s="1"/>
  <c r="C38" i="3" s="1"/>
  <c r="T123" i="1" l="1"/>
  <c r="T124" i="1" s="1"/>
  <c r="T1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NikhilM</author>
  </authors>
  <commentList>
    <comment ref="I100" authorId="0" shapeId="0" xr:uid="{80F08189-B20E-4EB1-B566-F9B9E72F04FD}">
      <text>
        <r>
          <rPr>
            <b/>
            <sz val="9"/>
            <color indexed="81"/>
            <rFont val="Tahoma"/>
            <family val="2"/>
          </rPr>
          <t>NikhilM:</t>
        </r>
        <r>
          <rPr>
            <sz val="9"/>
            <color indexed="81"/>
            <rFont val="Tahoma"/>
            <family val="2"/>
          </rPr>
          <t xml:space="preserve">
depend on fsi</t>
        </r>
      </text>
    </comment>
  </commentList>
</comments>
</file>

<file path=xl/sharedStrings.xml><?xml version="1.0" encoding="utf-8"?>
<sst xmlns="http://schemas.openxmlformats.org/spreadsheetml/2006/main" count="517" uniqueCount="313">
  <si>
    <t>B)AREA OF PLOT IN POSSESSION</t>
  </si>
  <si>
    <t>Area in Sq mt</t>
  </si>
  <si>
    <t>Area in Sq ft</t>
  </si>
  <si>
    <t>1)</t>
  </si>
  <si>
    <t>A)AREA OF PLOT</t>
  </si>
  <si>
    <t>2)</t>
  </si>
  <si>
    <t>Deduction for</t>
  </si>
  <si>
    <t>A)30 MT DP ROAD</t>
  </si>
  <si>
    <t>B)AMENITY SPACE</t>
  </si>
  <si>
    <t>C)AREA UNDER ENCROCHMENT</t>
  </si>
  <si>
    <t>TOTAL DEDUCTION</t>
  </si>
  <si>
    <t>3)</t>
  </si>
  <si>
    <t>BALANCE AREA OF PLOT(1 ,2)</t>
  </si>
  <si>
    <t>Deduction Recreation Ground as per rule @15%</t>
  </si>
  <si>
    <t>Net area of plot</t>
  </si>
  <si>
    <t>Additional for floor space index road</t>
  </si>
  <si>
    <t>4)</t>
  </si>
  <si>
    <t>TOTAL USABLE CARPET AREA OF SOCIETY</t>
  </si>
  <si>
    <t>5)</t>
  </si>
  <si>
    <t>Maximum permissible FSI as per Table 6G-UDCPR</t>
  </si>
  <si>
    <t>a)</t>
  </si>
  <si>
    <t>Basic FSI of 1.1 (2504.22 *1.1)</t>
  </si>
  <si>
    <t>Flats</t>
  </si>
  <si>
    <t>b)</t>
  </si>
  <si>
    <t>15 sq.mt PER TENANT INCENTIVE - UDCPR 7.6.1.(i) (____ X 15)-IF APPLICABLE</t>
  </si>
  <si>
    <t>c)</t>
  </si>
  <si>
    <t>F.S.I ON PAYMENT OF PREMIUM - 0.5 (2504.22X0.5) for 18.43 m wide road as per old DP</t>
  </si>
  <si>
    <t>d)</t>
  </si>
  <si>
    <t>T.D.R TO BE PURCHASED - 6.75 (2504.22X0.9) for 18.43 m wide road as per old DP</t>
  </si>
  <si>
    <t>TOTAL FSI</t>
  </si>
  <si>
    <t>e)</t>
  </si>
  <si>
    <t>F.S.I CONSUMED FOR RESIDENTIAL=72</t>
  </si>
  <si>
    <t>f)</t>
  </si>
  <si>
    <t>ANCILLARY F.S.I- 0.6 ON RESIDENTIAL AREA (2727.3*0.6)</t>
  </si>
  <si>
    <t>g)</t>
  </si>
  <si>
    <t>TOTAL B.U.A FOR RESIDENTIAL PURPOSE (E+F) INCLUDING BALCON</t>
  </si>
  <si>
    <t>h)</t>
  </si>
  <si>
    <t>F.S.I TO BE CONSUMED FOR COMMERCIAL 12</t>
  </si>
  <si>
    <t>i)</t>
  </si>
  <si>
    <t>ANCILLARY F.SI- 0.8 ON COMMERCIAL AREA (220.66*0.8)</t>
  </si>
  <si>
    <t>j)</t>
  </si>
  <si>
    <t>TOTAL B.U.A FOR COMMERCIAL PURPOSE (H+I)</t>
  </si>
  <si>
    <t>MAX PERMISSIBLE FSI (g+j)</t>
  </si>
  <si>
    <t>CARPET AREA 72+12</t>
  </si>
  <si>
    <t>RESIDENTIAL CARPET AREA (g *0.78)</t>
  </si>
  <si>
    <r>
      <t>COMMERCIAL CARPET AREA (</t>
    </r>
    <r>
      <rPr>
        <b/>
        <sz val="11"/>
        <color rgb="FFFF0000"/>
        <rFont val="Calibri"/>
        <family val="2"/>
        <scheme val="minor"/>
      </rPr>
      <t>I</t>
    </r>
    <r>
      <rPr>
        <b/>
        <sz val="11"/>
        <rFont val="Calibri"/>
        <family val="2"/>
        <scheme val="minor"/>
      </rPr>
      <t>j</t>
    </r>
    <r>
      <rPr>
        <b/>
        <sz val="11"/>
        <color theme="1"/>
        <rFont val="Calibri"/>
        <family val="2"/>
        <scheme val="minor"/>
      </rPr>
      <t xml:space="preserve"> * 0.82)</t>
    </r>
  </si>
  <si>
    <t>TOTAL AVAILABLE CARPET AREA IN PROJECT</t>
  </si>
  <si>
    <t>EXISTING CARPET AREA OF THE SOCIETY</t>
  </si>
  <si>
    <t>RESIDENTIAL CARPET AREA (72NO.S OF RESIDENTIAL TENANTS)</t>
  </si>
  <si>
    <t>COMMERCIAL CARPET AREA -12</t>
  </si>
  <si>
    <t>TOTAL EXISTING CARPET AREA</t>
  </si>
  <si>
    <t>Units</t>
  </si>
  <si>
    <t>Sq ft</t>
  </si>
  <si>
    <t>Residential</t>
  </si>
  <si>
    <t>Commercial</t>
  </si>
  <si>
    <t>Rental ( Higher side)</t>
  </si>
  <si>
    <t>Y1</t>
  </si>
  <si>
    <t>Y2</t>
  </si>
  <si>
    <t>Y3</t>
  </si>
  <si>
    <t>Brokerage 1 month</t>
  </si>
  <si>
    <t>Shifting @ INR 20 k one time</t>
  </si>
  <si>
    <t>In crores</t>
  </si>
  <si>
    <t>Total</t>
  </si>
  <si>
    <t>1538.90*10.7639-9.76</t>
  </si>
  <si>
    <t>Less: New set back Area</t>
  </si>
  <si>
    <t>Less: Old set back Area (Road width 18.3m)</t>
  </si>
  <si>
    <t>Existing BUA</t>
  </si>
  <si>
    <t>Existing Balcony Area</t>
  </si>
  <si>
    <t>278.42*5</t>
  </si>
  <si>
    <t>Existing CA Residential Flats: 33</t>
  </si>
  <si>
    <t>Toal Existing Carpet Area</t>
  </si>
  <si>
    <t>Existing BUA with balcony (1636.75 * 1.2)</t>
  </si>
  <si>
    <t>AREA OF PLOT</t>
  </si>
  <si>
    <t>AREA OF PLOT IN POSSESSION</t>
  </si>
  <si>
    <t>A</t>
  </si>
  <si>
    <t>B</t>
  </si>
  <si>
    <t>C</t>
  </si>
  <si>
    <t>E</t>
  </si>
  <si>
    <t xml:space="preserve">Permissible FSI : </t>
  </si>
  <si>
    <t>Proposed BUA</t>
  </si>
  <si>
    <t>Proposed BUA Rehab (1.45 * 1964.102564)</t>
  </si>
  <si>
    <t>Old Net Plot Area</t>
  </si>
  <si>
    <t>New Net Plot Area</t>
  </si>
  <si>
    <t>Old Plot area approve plan</t>
  </si>
  <si>
    <t>D</t>
  </si>
  <si>
    <t>Proposed Rehab CA (2847.948718 / 1.2)</t>
  </si>
  <si>
    <t>a</t>
  </si>
  <si>
    <t>h</t>
  </si>
  <si>
    <t>F</t>
  </si>
  <si>
    <t>G</t>
  </si>
  <si>
    <t>Less: BUA under 33/7b</t>
  </si>
  <si>
    <t>Typed Figures</t>
  </si>
  <si>
    <t>Balance BUA</t>
  </si>
  <si>
    <t>PAP BUA to be given to BMC (0.5 * 2491.44)</t>
  </si>
  <si>
    <t>b</t>
  </si>
  <si>
    <t>H</t>
  </si>
  <si>
    <t>I</t>
  </si>
  <si>
    <t>J</t>
  </si>
  <si>
    <t>Total BUA with Fungible (6155.60 + 2154.46)</t>
  </si>
  <si>
    <t>K</t>
  </si>
  <si>
    <t>c</t>
  </si>
  <si>
    <t>L</t>
  </si>
  <si>
    <t>M</t>
  </si>
  <si>
    <t>N</t>
  </si>
  <si>
    <t xml:space="preserve"> </t>
  </si>
  <si>
    <t>Description</t>
  </si>
  <si>
    <t>Sq. Ft</t>
  </si>
  <si>
    <t>Rate</t>
  </si>
  <si>
    <t>Amount</t>
  </si>
  <si>
    <t>Particulars</t>
  </si>
  <si>
    <t>Cost:</t>
  </si>
  <si>
    <t>Construction Cost:</t>
  </si>
  <si>
    <t>per/sqft</t>
  </si>
  <si>
    <t>GST on construction</t>
  </si>
  <si>
    <t>Escalation in construction cost</t>
  </si>
  <si>
    <t>Consultants @ 6%</t>
  </si>
  <si>
    <t>TDR Cost :  slum TDR</t>
  </si>
  <si>
    <t>General TDR</t>
  </si>
  <si>
    <t>Cost of Sale Fungible Area Rest</t>
  </si>
  <si>
    <t>Municipal Expenses</t>
  </si>
  <si>
    <t>Dev charges on commercial  area</t>
  </si>
  <si>
    <t>Dev charges commercial  area land
component</t>
  </si>
  <si>
    <t>Open space Deficiency approx</t>
  </si>
  <si>
    <t>Staircase premium</t>
  </si>
  <si>
    <t>Additional development charges</t>
  </si>
  <si>
    <t>Fitness centre Development Charges</t>
  </si>
  <si>
    <t>Solid Waste Management</t>
  </si>
  <si>
    <t>Civil aviation NOC</t>
  </si>
  <si>
    <t>Stamp duty</t>
  </si>
  <si>
    <t>Corpus to members</t>
  </si>
  <si>
    <t>Transit Accommodation residential</t>
  </si>
  <si>
    <t>One month Brokerage (transit)</t>
  </si>
  <si>
    <t>GST on rehab flats provision</t>
  </si>
  <si>
    <t>Interest on initial investment</t>
  </si>
  <si>
    <t>TOTAL cost</t>
  </si>
  <si>
    <t>REVENUE :</t>
  </si>
  <si>
    <t>Sale Carpet area :</t>
  </si>
  <si>
    <t>commercial  area</t>
  </si>
  <si>
    <t>Parking revenue</t>
  </si>
  <si>
    <t>Totel Revenue</t>
  </si>
  <si>
    <t>PROFIT</t>
  </si>
  <si>
    <t>Podium parking RCC work</t>
  </si>
  <si>
    <t>per/sft</t>
  </si>
  <si>
    <t>per/nos</t>
  </si>
  <si>
    <t>Sq. Mt</t>
  </si>
  <si>
    <t>per/sqmt</t>
  </si>
  <si>
    <t>Stamp duty on TDR</t>
  </si>
  <si>
    <t>50 % Government FSI</t>
  </si>
  <si>
    <t>-</t>
  </si>
  <si>
    <t>Commercial sale fungible area</t>
  </si>
  <si>
    <t>PAP purchase cost approx</t>
  </si>
  <si>
    <t>Stamp duty on PAP</t>
  </si>
  <si>
    <t>Difference in premium RR approx</t>
  </si>
  <si>
    <t>e</t>
  </si>
  <si>
    <t>m</t>
  </si>
  <si>
    <t>r</t>
  </si>
  <si>
    <t>s</t>
  </si>
  <si>
    <t>n</t>
  </si>
  <si>
    <t>d</t>
  </si>
  <si>
    <t>p</t>
  </si>
  <si>
    <t>t</t>
  </si>
  <si>
    <t>f</t>
  </si>
  <si>
    <t>g</t>
  </si>
  <si>
    <t>I.O.D Deposit</t>
  </si>
  <si>
    <r>
      <t xml:space="preserve">Debris Deposit </t>
    </r>
    <r>
      <rPr>
        <b/>
        <sz val="11"/>
        <color theme="1"/>
        <rFont val="Calibri"/>
        <family val="2"/>
        <scheme val="minor"/>
      </rPr>
      <t>(Rs. 45,000 max)</t>
    </r>
  </si>
  <si>
    <t>Development charges 4% for built up area</t>
  </si>
  <si>
    <t>i</t>
  </si>
  <si>
    <t>l</t>
  </si>
  <si>
    <t>j</t>
  </si>
  <si>
    <t>k</t>
  </si>
  <si>
    <t>o</t>
  </si>
  <si>
    <t>q</t>
  </si>
  <si>
    <t>u</t>
  </si>
  <si>
    <t>v</t>
  </si>
  <si>
    <t>per/yr &amp; per/sqmt</t>
  </si>
  <si>
    <t>City survey office expenses</t>
  </si>
  <si>
    <t>Bank guamntee to BMC</t>
  </si>
  <si>
    <t>Legal expenses</t>
  </si>
  <si>
    <t>Legal consultant</t>
  </si>
  <si>
    <t>Admin / marketing / site expenses</t>
  </si>
  <si>
    <t>Shifting Charges</t>
  </si>
  <si>
    <t>Proposal is Feasible</t>
  </si>
  <si>
    <t>Sale rate considered 42,000/- sqft for residential and 50,000/- for commercial.</t>
  </si>
  <si>
    <t>Note: salable rate is variable (subject to market conditions). OC plans not yet verified.</t>
  </si>
  <si>
    <t>Existing CA Commercial Shops: 4</t>
  </si>
  <si>
    <r>
      <t>TDR to be purchased (1319.31 sqm - incentive: 33 Flats x 10 sqm -</t>
    </r>
    <r>
      <rPr>
        <b/>
        <sz val="11"/>
        <color theme="1"/>
        <rFont val="Calibri"/>
        <family val="2"/>
        <scheme val="minor"/>
      </rPr>
      <t xml:space="preserve"> 108.14 sqm</t>
    </r>
    <r>
      <rPr>
        <sz val="11"/>
        <color theme="1"/>
        <rFont val="Calibri"/>
        <family val="2"/>
        <scheme val="minor"/>
      </rPr>
      <t>)</t>
    </r>
  </si>
  <si>
    <t>Need to ask 108.14 sqmt</t>
  </si>
  <si>
    <t>BUA on plot under 33/20b (2*1245.72)</t>
  </si>
  <si>
    <t>45% Additional Area</t>
  </si>
  <si>
    <t xml:space="preserve">Existing Residential Flats &amp; Shop </t>
  </si>
  <si>
    <t>Sqmt</t>
  </si>
  <si>
    <t>Sqft</t>
  </si>
  <si>
    <t>Area to Existing Members</t>
  </si>
  <si>
    <t>No. of Members</t>
  </si>
  <si>
    <t>Cost per Unit</t>
  </si>
  <si>
    <t>Total Cost</t>
  </si>
  <si>
    <t>Normally 4% of Sales Proceeds</t>
  </si>
  <si>
    <t>Total Finance Cost</t>
  </si>
  <si>
    <t>Total Municipal Expense</t>
  </si>
  <si>
    <t>Total Other Cost</t>
  </si>
  <si>
    <t>Total Cost other than Admin / marketing / site expenses</t>
  </si>
  <si>
    <t>Finance cost @ 12%</t>
  </si>
  <si>
    <t>Initial Investment</t>
  </si>
  <si>
    <t>Interest On Initial Investment</t>
  </si>
  <si>
    <t>Finance Cost ( 93,78,07,576.29 * 12% )</t>
  </si>
  <si>
    <t>No. of Months</t>
  </si>
  <si>
    <t>Additiona Area (1964.1 * 0.45)</t>
  </si>
  <si>
    <t>The built-up area (BUA) designated for Project Affected Persons (PAP) shall be handed over to the Brihanmumbai Municipal Corporation (BMC)</t>
  </si>
  <si>
    <t>The premium (or loading) applied to the Ready Reckoner (RR) rate—the government-assessed property value used for stamp duty and registration</t>
  </si>
  <si>
    <t>Compensation or Cost to Existing Members</t>
  </si>
  <si>
    <t>Ready Reckoner rate 2026 zone 49/236 = 1,22,580/ sqmt (land rate); R: 2,38,440/- sqmt; shop: 2,98,050/- sqmt.</t>
  </si>
  <si>
    <t>Feasibility Report For Dharti CHS Ltd., situated at Versova, Mumbai.</t>
  </si>
  <si>
    <t>As per existing approved plan</t>
  </si>
  <si>
    <t>as per road with</t>
  </si>
  <si>
    <t>Sec 33 -11</t>
  </si>
  <si>
    <t>SRA scheme</t>
  </si>
  <si>
    <t>Purchase from BMC</t>
  </si>
  <si>
    <t>Basic</t>
  </si>
  <si>
    <t>additional</t>
  </si>
  <si>
    <t>assumed  20 floors</t>
  </si>
  <si>
    <t>Std premiums</t>
  </si>
  <si>
    <t>plot area *1.4* RR</t>
  </si>
  <si>
    <t>250 can be offered</t>
  </si>
  <si>
    <t>Inr 20 lakhs per parking</t>
  </si>
  <si>
    <r>
      <t xml:space="preserve">Existing CA Residential Flats: </t>
    </r>
    <r>
      <rPr>
        <b/>
        <sz val="11"/>
        <color theme="1"/>
        <rFont val="Calibri"/>
        <family val="2"/>
        <scheme val="minor"/>
      </rPr>
      <t>33</t>
    </r>
  </si>
  <si>
    <r>
      <t xml:space="preserve">Existing CA Commercial Shops: </t>
    </r>
    <r>
      <rPr>
        <b/>
        <sz val="11"/>
        <color theme="1"/>
        <rFont val="Calibri"/>
        <family val="2"/>
        <scheme val="minor"/>
      </rPr>
      <t>4</t>
    </r>
  </si>
  <si>
    <t>Total Existing Carpet Area</t>
  </si>
  <si>
    <t>TDR: plot area x 0.9 (0.9 * 1465.9) (Plot area * 0.9)</t>
  </si>
  <si>
    <t>Total BUA proposed (plot area in Posession*4)</t>
  </si>
  <si>
    <t>Fungible Area (0.35 * 6155.60) (BUA * 0.35)</t>
  </si>
  <si>
    <t>Total Construction Area (8310.06 * 1.35) (BUA *1.35 TIMES)</t>
  </si>
  <si>
    <t>Proposed BUA Rehab ( Existing builtup area * additional area offered)</t>
  </si>
  <si>
    <t>Sale BUA (total BUA -Rehal BUA)</t>
  </si>
  <si>
    <t>Sale Carpet Area ( BUA/1.1)</t>
  </si>
  <si>
    <t>"45% additional area</t>
  </si>
  <si>
    <t>"65% additional area</t>
  </si>
  <si>
    <t>"70% additioanl area</t>
  </si>
  <si>
    <t>"75% additional area</t>
  </si>
  <si>
    <t>"80% additional area</t>
  </si>
  <si>
    <r>
      <t xml:space="preserve">2.4 proposed BUA (2.4 * 1465.9) </t>
    </r>
    <r>
      <rPr>
        <b/>
        <sz val="11"/>
        <color theme="1"/>
        <rFont val="Calibri"/>
        <family val="2"/>
        <scheme val="minor"/>
      </rPr>
      <t>(Plot area * 2.4)</t>
    </r>
  </si>
  <si>
    <r>
      <t xml:space="preserve">Add: Set back Area (2 * 73) </t>
    </r>
    <r>
      <rPr>
        <b/>
        <sz val="11"/>
        <color theme="1"/>
        <rFont val="Calibri"/>
        <family val="2"/>
        <scheme val="minor"/>
      </rPr>
      <t>(Set back area * 2)</t>
    </r>
  </si>
  <si>
    <t>***</t>
  </si>
  <si>
    <r>
      <t xml:space="preserve">Govt FSI : plot area x 0.5 (0.5 * 1465.9) </t>
    </r>
    <r>
      <rPr>
        <b/>
        <sz val="11"/>
        <color theme="1"/>
        <rFont val="Calibri"/>
        <family val="2"/>
        <scheme val="minor"/>
      </rPr>
      <t>(Plot area * 0.5)</t>
    </r>
  </si>
  <si>
    <t>Proposed  bua rehab commer. (exis carpet area comme * 1.2 * 1.4)</t>
  </si>
  <si>
    <r>
      <t xml:space="preserve">33f20b : permissible BUA (4 * 1538.9) </t>
    </r>
    <r>
      <rPr>
        <b/>
        <sz val="11"/>
        <color theme="1"/>
        <rFont val="Calibri"/>
        <family val="2"/>
        <scheme val="minor"/>
      </rPr>
      <t>(plot area in Posession*4)</t>
    </r>
  </si>
  <si>
    <t>Rehab Fungible Area (existing BUA * 0.35)</t>
  </si>
  <si>
    <r>
      <t xml:space="preserve">Sale Fungible Area </t>
    </r>
    <r>
      <rPr>
        <b/>
        <sz val="11"/>
        <color theme="1"/>
        <rFont val="Calibri"/>
        <family val="2"/>
        <scheme val="minor"/>
      </rPr>
      <t>(Funglible area - Rehab Fungible)</t>
    </r>
  </si>
  <si>
    <t>Scrutiny fees (Total BUA with fungible FSI) * RR</t>
  </si>
  <si>
    <t>Development charges 1% of land
component (New Plot area * 1%)</t>
  </si>
  <si>
    <t>Labour welfare cess (total construction area * 0.01* rate)</t>
  </si>
  <si>
    <r>
      <t>Water and Sewerage Charges</t>
    </r>
    <r>
      <rPr>
        <b/>
        <sz val="11"/>
        <color theme="1"/>
        <rFont val="Calibri"/>
        <family val="2"/>
        <scheme val="minor"/>
      </rPr>
      <t xml:space="preserve"> (total construction area * rate)</t>
    </r>
  </si>
  <si>
    <r>
      <t xml:space="preserve">Infra improvement charges </t>
    </r>
    <r>
      <rPr>
        <b/>
        <sz val="11"/>
        <color theme="1"/>
        <rFont val="Calibri"/>
        <family val="2"/>
        <scheme val="minor"/>
      </rPr>
      <t>(TDR to be purchased * rate)</t>
    </r>
  </si>
  <si>
    <r>
      <t xml:space="preserve">CFO Capitation fees </t>
    </r>
    <r>
      <rPr>
        <b/>
        <sz val="11"/>
        <color theme="1"/>
        <rFont val="Calibri"/>
        <family val="2"/>
        <scheme val="minor"/>
      </rPr>
      <t>(total construction area * rate)</t>
    </r>
  </si>
  <si>
    <r>
      <t xml:space="preserve">CFO service charges </t>
    </r>
    <r>
      <rPr>
        <b/>
        <sz val="11"/>
        <color theme="1"/>
        <rFont val="Calibri"/>
        <family val="2"/>
        <scheme val="minor"/>
      </rPr>
      <t>(total construction area * rate)</t>
    </r>
  </si>
  <si>
    <r>
      <t xml:space="preserve">Land under Assessment (Tax): </t>
    </r>
    <r>
      <rPr>
        <b/>
        <sz val="11"/>
        <color theme="1"/>
        <rFont val="Calibri"/>
        <family val="2"/>
        <scheme val="minor"/>
      </rPr>
      <t>(plot in possession *3.52%*3*rate)</t>
    </r>
  </si>
  <si>
    <r>
      <t xml:space="preserve">Pest control office </t>
    </r>
    <r>
      <rPr>
        <b/>
        <sz val="11"/>
        <color theme="1"/>
        <rFont val="Calibri"/>
        <family val="2"/>
        <scheme val="minor"/>
      </rPr>
      <t>((total construction area * rate)</t>
    </r>
  </si>
  <si>
    <t>Additional area * 55000*5%</t>
  </si>
  <si>
    <t>Miscellenious Expenses + Contingencies</t>
  </si>
  <si>
    <t>Main</t>
  </si>
  <si>
    <t>Fungible area (Proposed BUA * 0.35)</t>
  </si>
  <si>
    <t>Total BUA with fungible</t>
  </si>
  <si>
    <t xml:space="preserve">Proposed BUA Rehab ( Existing builtup area * additional area offered)   </t>
  </si>
  <si>
    <t>Sale BUA  (B-A)</t>
  </si>
  <si>
    <t>Sale Carpert area (BUA/1.1)</t>
  </si>
  <si>
    <t>Sale Carpert area in sq ft</t>
  </si>
  <si>
    <t>Sale area in Sq ft</t>
  </si>
  <si>
    <t>Residential  @ 55000</t>
  </si>
  <si>
    <t xml:space="preserve">Sale Proceeds </t>
  </si>
  <si>
    <t>Construction area</t>
  </si>
  <si>
    <t>(total BUA * 1.35 times)</t>
  </si>
  <si>
    <t>Constr. Cost @INR 4720 (including GST)</t>
  </si>
  <si>
    <t>Podium parking RCC work@INR 2950</t>
  </si>
  <si>
    <t>Rate need to discuss with MS</t>
  </si>
  <si>
    <t>Cost Escalation  @ 5%</t>
  </si>
  <si>
    <t>Construction cost 6%</t>
  </si>
  <si>
    <t>TDR cost- 881.17 sq mt @ INR 122580</t>
  </si>
  <si>
    <t>SD on TDR @ 3%</t>
  </si>
  <si>
    <t>50 % Government FSI @INR 122580</t>
  </si>
  <si>
    <t>Cost of Sale Fungible Area Rest @INR 122580</t>
  </si>
  <si>
    <t>Stamp duty on PAP @ 6%</t>
  </si>
  <si>
    <t>PAP purchase cost approx @ INR 1.7 lakhs</t>
  </si>
  <si>
    <t>Difference in premium RR approx @ INR 20000</t>
  </si>
  <si>
    <t>Muncipal Exp</t>
  </si>
  <si>
    <t>Legal Exp @INR 50000 for 37 units</t>
  </si>
  <si>
    <t>SD (New plot area*1.4*RR*6%)</t>
  </si>
  <si>
    <t>Miscellaneous Exp + Conti</t>
  </si>
  <si>
    <t>Marketing Exp @ 3%</t>
  </si>
  <si>
    <t>Salaries for 36 months @ 5  lakhs</t>
  </si>
  <si>
    <t>GST on rehab</t>
  </si>
  <si>
    <t>Compensation to existing owners</t>
  </si>
  <si>
    <t>Rental, Brokerage,Shifting</t>
  </si>
  <si>
    <t>Corpus @ INR 1500</t>
  </si>
  <si>
    <t>Per Sq ft</t>
  </si>
  <si>
    <t>Shifting @ INR 30 k one time</t>
  </si>
  <si>
    <t>Additional Area in Carpet</t>
  </si>
  <si>
    <t>Proposed Carpet</t>
  </si>
  <si>
    <t>GST on Rehab as per PMC report INR 238440/Sq mt</t>
  </si>
  <si>
    <t>Finance Cost for 12 Months @12%</t>
  </si>
  <si>
    <t>Net Profit</t>
  </si>
  <si>
    <t>Income Tax @ 26%</t>
  </si>
  <si>
    <t>PAT</t>
  </si>
  <si>
    <t>Return on Investment</t>
  </si>
  <si>
    <t>Total Investment for 1 year</t>
  </si>
  <si>
    <t>Net Profit before tax</t>
  </si>
  <si>
    <t>Annual</t>
  </si>
  <si>
    <t>Net Profit after tax</t>
  </si>
  <si>
    <t>"@45%</t>
  </si>
  <si>
    <t>"@65%</t>
  </si>
  <si>
    <t>"@70%</t>
  </si>
  <si>
    <t>"@75%</t>
  </si>
  <si>
    <t>"@80%</t>
  </si>
  <si>
    <t>Assumed 90 parkings</t>
  </si>
  <si>
    <t>Parking Revenue @INR 25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</si>
</sst>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* #,##0.00_ ;_ * \-#,##0.00_ ;_ * &quot;-&quot;??_ ;_ @_ "/>
    <numFmt numFmtId="165" formatCode="_-* #,##0_-;\-* #,##0_-;_-* &quot;-&quot;??_-;_-@_-"/>
    <numFmt numFmtId="166" formatCode="0.000"/>
    <numFmt numFmtId="167" formatCode="0.000000"/>
    <numFmt numFmtId="168" formatCode="_ * #,##0.000000_ ;_ * \-#,##0.000000_ ;_ * &quot;-&quot;??_ ;_ @_ "/>
    <numFmt numFmtId="169" formatCode="_ * #,##0.0000000_ ;_ * \-#,##0.0000000_ ;_ * &quot;-&quot;??_ ;_ @_ "/>
    <numFmt numFmtId="170" formatCode="_ * #,##0_ ;_ * \-#,##0_ ;_ * &quot;-&quot;??_ ;_ @_ "/>
    <numFmt numFmtId="173" formatCode="_ * #,##0.0_ ;_ * \-#,##0.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 val="singleAccounting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7">
    <xf numFmtId="0" fontId="0" fillId="0" borderId="0" xfId="0"/>
    <xf numFmtId="43" fontId="0" fillId="0" borderId="0" xfId="0" applyNumberFormat="1"/>
    <xf numFmtId="0" fontId="0" fillId="0" borderId="1" xfId="0" applyBorder="1"/>
    <xf numFmtId="43" fontId="2" fillId="0" borderId="1" xfId="0" applyNumberFormat="1" applyFont="1" applyBorder="1"/>
    <xf numFmtId="0" fontId="2" fillId="0" borderId="0" xfId="0" applyFont="1"/>
    <xf numFmtId="0" fontId="2" fillId="0" borderId="1" xfId="0" applyFont="1" applyBorder="1"/>
    <xf numFmtId="164" fontId="0" fillId="0" borderId="1" xfId="0" applyNumberFormat="1" applyBorder="1"/>
    <xf numFmtId="164" fontId="0" fillId="0" borderId="0" xfId="0" applyNumberFormat="1"/>
    <xf numFmtId="0" fontId="3" fillId="0" borderId="1" xfId="0" applyFont="1" applyBorder="1"/>
    <xf numFmtId="43" fontId="0" fillId="0" borderId="1" xfId="0" applyNumberFormat="1" applyBorder="1"/>
    <xf numFmtId="164" fontId="0" fillId="0" borderId="1" xfId="1" applyFont="1" applyBorder="1"/>
    <xf numFmtId="164" fontId="2" fillId="0" borderId="1" xfId="1" applyFont="1" applyBorder="1"/>
    <xf numFmtId="164" fontId="0" fillId="0" borderId="0" xfId="1" applyFont="1"/>
    <xf numFmtId="164" fontId="1" fillId="0" borderId="1" xfId="1" applyFont="1" applyBorder="1"/>
    <xf numFmtId="164" fontId="2" fillId="0" borderId="0" xfId="1" applyFont="1"/>
    <xf numFmtId="164" fontId="1" fillId="0" borderId="0" xfId="1" applyFont="1"/>
    <xf numFmtId="43" fontId="0" fillId="2" borderId="1" xfId="0" applyNumberFormat="1" applyFill="1" applyBorder="1"/>
    <xf numFmtId="0" fontId="0" fillId="3" borderId="0" xfId="0" applyFill="1"/>
    <xf numFmtId="0" fontId="0" fillId="3" borderId="1" xfId="0" applyFill="1" applyBorder="1"/>
    <xf numFmtId="0" fontId="2" fillId="3" borderId="1" xfId="0" applyFont="1" applyFill="1" applyBorder="1"/>
    <xf numFmtId="164" fontId="2" fillId="3" borderId="1" xfId="1" applyFont="1" applyFill="1" applyBorder="1"/>
    <xf numFmtId="164" fontId="2" fillId="3" borderId="0" xfId="1" applyFont="1" applyFill="1"/>
    <xf numFmtId="43" fontId="2" fillId="3" borderId="1" xfId="0" applyNumberFormat="1" applyFont="1" applyFill="1" applyBorder="1"/>
    <xf numFmtId="164" fontId="2" fillId="0" borderId="0" xfId="1" applyFont="1" applyBorder="1"/>
    <xf numFmtId="164" fontId="6" fillId="0" borderId="0" xfId="1" applyFont="1" applyBorder="1"/>
    <xf numFmtId="43" fontId="2" fillId="0" borderId="0" xfId="0" applyNumberFormat="1" applyFont="1"/>
    <xf numFmtId="0" fontId="3" fillId="0" borderId="0" xfId="0" applyFont="1"/>
    <xf numFmtId="0" fontId="6" fillId="0" borderId="0" xfId="0" applyFont="1"/>
    <xf numFmtId="165" fontId="0" fillId="0" borderId="0" xfId="1" applyNumberFormat="1" applyFont="1" applyBorder="1"/>
    <xf numFmtId="165" fontId="2" fillId="0" borderId="0" xfId="1" applyNumberFormat="1" applyFont="1" applyBorder="1"/>
    <xf numFmtId="0" fontId="2" fillId="0" borderId="2" xfId="0" applyFont="1" applyBorder="1"/>
    <xf numFmtId="0" fontId="0" fillId="0" borderId="2" xfId="0" applyBorder="1"/>
    <xf numFmtId="165" fontId="0" fillId="0" borderId="2" xfId="1" applyNumberFormat="1" applyFont="1" applyBorder="1"/>
    <xf numFmtId="165" fontId="2" fillId="0" borderId="2" xfId="1" applyNumberFormat="1" applyFont="1" applyBorder="1"/>
    <xf numFmtId="166" fontId="0" fillId="0" borderId="0" xfId="0" applyNumberFormat="1"/>
    <xf numFmtId="164" fontId="0" fillId="2" borderId="1" xfId="1" applyFont="1" applyFill="1" applyBorder="1"/>
    <xf numFmtId="164" fontId="0" fillId="0" borderId="1" xfId="1" applyFont="1" applyFill="1" applyBorder="1"/>
    <xf numFmtId="0" fontId="0" fillId="0" borderId="1" xfId="0" applyBorder="1" applyAlignment="1">
      <alignment wrapText="1"/>
    </xf>
    <xf numFmtId="164" fontId="0" fillId="4" borderId="1" xfId="1" applyFont="1" applyFill="1" applyBorder="1"/>
    <xf numFmtId="0" fontId="2" fillId="0" borderId="3" xfId="0" applyFont="1" applyBorder="1"/>
    <xf numFmtId="0" fontId="0" fillId="0" borderId="3" xfId="0" applyBorder="1"/>
    <xf numFmtId="164" fontId="1" fillId="0" borderId="3" xfId="1" applyFont="1" applyBorder="1"/>
    <xf numFmtId="164" fontId="0" fillId="0" borderId="3" xfId="0" applyNumberFormat="1" applyBorder="1"/>
    <xf numFmtId="0" fontId="2" fillId="0" borderId="4" xfId="0" applyFont="1" applyBorder="1"/>
    <xf numFmtId="164" fontId="0" fillId="0" borderId="5" xfId="0" applyNumberFormat="1" applyBorder="1"/>
    <xf numFmtId="43" fontId="2" fillId="0" borderId="5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0" fontId="2" fillId="0" borderId="9" xfId="0" applyFont="1" applyBorder="1"/>
    <xf numFmtId="164" fontId="0" fillId="0" borderId="10" xfId="0" applyNumberFormat="1" applyBorder="1"/>
    <xf numFmtId="0" fontId="2" fillId="0" borderId="11" xfId="0" applyFont="1" applyBorder="1"/>
    <xf numFmtId="0" fontId="0" fillId="0" borderId="12" xfId="0" applyBorder="1"/>
    <xf numFmtId="0" fontId="2" fillId="0" borderId="12" xfId="0" applyFont="1" applyBorder="1"/>
    <xf numFmtId="164" fontId="0" fillId="0" borderId="7" xfId="1" applyFont="1" applyBorder="1"/>
    <xf numFmtId="164" fontId="2" fillId="0" borderId="12" xfId="1" applyFont="1" applyBorder="1"/>
    <xf numFmtId="164" fontId="2" fillId="0" borderId="3" xfId="1" applyFont="1" applyBorder="1"/>
    <xf numFmtId="164" fontId="0" fillId="0" borderId="3" xfId="1" applyFont="1" applyBorder="1"/>
    <xf numFmtId="164" fontId="0" fillId="0" borderId="5" xfId="1" applyFont="1" applyBorder="1"/>
    <xf numFmtId="164" fontId="2" fillId="4" borderId="12" xfId="1" applyFont="1" applyFill="1" applyBorder="1"/>
    <xf numFmtId="164" fontId="2" fillId="4" borderId="12" xfId="0" applyNumberFormat="1" applyFont="1" applyFill="1" applyBorder="1"/>
    <xf numFmtId="10" fontId="1" fillId="0" borderId="1" xfId="1" applyNumberFormat="1" applyFont="1" applyBorder="1"/>
    <xf numFmtId="164" fontId="0" fillId="0" borderId="0" xfId="1" applyFont="1" applyFill="1" applyBorder="1"/>
    <xf numFmtId="0" fontId="0" fillId="2" borderId="1" xfId="0" applyFill="1" applyBorder="1"/>
    <xf numFmtId="168" fontId="0" fillId="0" borderId="0" xfId="1" applyNumberFormat="1" applyFont="1"/>
    <xf numFmtId="169" fontId="0" fillId="0" borderId="0" xfId="1" applyNumberFormat="1" applyFont="1"/>
    <xf numFmtId="164" fontId="2" fillId="0" borderId="5" xfId="1" applyFont="1" applyBorder="1"/>
    <xf numFmtId="164" fontId="1" fillId="2" borderId="1" xfId="1" applyFont="1" applyFill="1" applyBorder="1"/>
    <xf numFmtId="164" fontId="1" fillId="0" borderId="1" xfId="1" applyFont="1" applyFill="1" applyBorder="1"/>
    <xf numFmtId="164" fontId="2" fillId="0" borderId="5" xfId="0" applyNumberFormat="1" applyFont="1" applyBorder="1"/>
    <xf numFmtId="0" fontId="0" fillId="5" borderId="1" xfId="0" applyFill="1" applyBorder="1" applyAlignment="1">
      <alignment wrapText="1"/>
    </xf>
    <xf numFmtId="164" fontId="8" fillId="0" borderId="0" xfId="1" applyFont="1"/>
    <xf numFmtId="164" fontId="0" fillId="2" borderId="1" xfId="0" applyNumberFormat="1" applyFill="1" applyBorder="1"/>
    <xf numFmtId="170" fontId="0" fillId="0" borderId="0" xfId="1" applyNumberFormat="1" applyFont="1"/>
    <xf numFmtId="170" fontId="0" fillId="0" borderId="1" xfId="1" applyNumberFormat="1" applyFont="1" applyBorder="1"/>
    <xf numFmtId="164" fontId="0" fillId="0" borderId="1" xfId="1" applyFont="1" applyBorder="1" applyAlignment="1">
      <alignment wrapText="1"/>
    </xf>
    <xf numFmtId="0" fontId="0" fillId="0" borderId="4" xfId="0" applyBorder="1"/>
    <xf numFmtId="170" fontId="0" fillId="0" borderId="5" xfId="1" applyNumberFormat="1" applyFont="1" applyBorder="1"/>
    <xf numFmtId="0" fontId="0" fillId="0" borderId="6" xfId="0" applyBorder="1"/>
    <xf numFmtId="164" fontId="2" fillId="0" borderId="8" xfId="1" applyFont="1" applyBorder="1"/>
    <xf numFmtId="0" fontId="0" fillId="0" borderId="9" xfId="0" applyBorder="1"/>
    <xf numFmtId="170" fontId="0" fillId="0" borderId="10" xfId="1" applyNumberFormat="1" applyFont="1" applyBorder="1"/>
    <xf numFmtId="170" fontId="2" fillId="0" borderId="13" xfId="1" applyNumberFormat="1" applyFont="1" applyBorder="1"/>
    <xf numFmtId="164" fontId="0" fillId="0" borderId="0" xfId="1" applyFont="1" applyBorder="1"/>
    <xf numFmtId="164" fontId="7" fillId="0" borderId="0" xfId="1" applyFont="1" applyBorder="1"/>
    <xf numFmtId="0" fontId="2" fillId="0" borderId="14" xfId="0" applyFont="1" applyBorder="1"/>
    <xf numFmtId="0" fontId="0" fillId="0" borderId="15" xfId="0" applyBorder="1"/>
    <xf numFmtId="164" fontId="0" fillId="0" borderId="15" xfId="1" applyFont="1" applyBorder="1"/>
    <xf numFmtId="0" fontId="2" fillId="0" borderId="15" xfId="0" applyFont="1" applyBorder="1"/>
    <xf numFmtId="170" fontId="0" fillId="0" borderId="7" xfId="1" applyNumberFormat="1" applyFont="1" applyBorder="1"/>
    <xf numFmtId="164" fontId="2" fillId="0" borderId="8" xfId="0" applyNumberFormat="1" applyFont="1" applyBorder="1"/>
    <xf numFmtId="170" fontId="0" fillId="0" borderId="3" xfId="1" applyNumberFormat="1" applyFont="1" applyBorder="1"/>
    <xf numFmtId="164" fontId="0" fillId="0" borderId="10" xfId="1" applyFont="1" applyBorder="1"/>
    <xf numFmtId="0" fontId="0" fillId="0" borderId="11" xfId="0" applyBorder="1"/>
    <xf numFmtId="164" fontId="0" fillId="0" borderId="12" xfId="1" applyFont="1" applyBorder="1"/>
    <xf numFmtId="164" fontId="0" fillId="0" borderId="13" xfId="1" applyFont="1" applyBorder="1"/>
    <xf numFmtId="170" fontId="2" fillId="0" borderId="12" xfId="1" applyNumberFormat="1" applyFont="1" applyBorder="1"/>
    <xf numFmtId="164" fontId="2" fillId="0" borderId="13" xfId="1" applyFont="1" applyBorder="1"/>
    <xf numFmtId="164" fontId="2" fillId="0" borderId="7" xfId="1" applyFont="1" applyBorder="1"/>
    <xf numFmtId="164" fontId="0" fillId="4" borderId="3" xfId="1" applyFont="1" applyFill="1" applyBorder="1"/>
    <xf numFmtId="164" fontId="2" fillId="0" borderId="0" xfId="1" applyFont="1" applyFill="1" applyBorder="1"/>
    <xf numFmtId="0" fontId="9" fillId="0" borderId="0" xfId="0" applyFont="1"/>
    <xf numFmtId="170" fontId="0" fillId="2" borderId="1" xfId="1" applyNumberFormat="1" applyFont="1" applyFill="1" applyBorder="1"/>
    <xf numFmtId="170" fontId="2" fillId="0" borderId="12" xfId="1" applyNumberFormat="1" applyFont="1" applyFill="1" applyBorder="1"/>
    <xf numFmtId="170" fontId="1" fillId="0" borderId="1" xfId="1" applyNumberFormat="1" applyFont="1" applyBorder="1"/>
    <xf numFmtId="170" fontId="0" fillId="0" borderId="15" xfId="1" applyNumberFormat="1" applyFont="1" applyBorder="1"/>
    <xf numFmtId="170" fontId="0" fillId="2" borderId="5" xfId="1" applyNumberFormat="1" applyFont="1" applyFill="1" applyBorder="1"/>
    <xf numFmtId="170" fontId="2" fillId="0" borderId="5" xfId="1" applyNumberFormat="1" applyFont="1" applyFill="1" applyBorder="1"/>
    <xf numFmtId="170" fontId="2" fillId="0" borderId="5" xfId="1" applyNumberFormat="1" applyFont="1" applyBorder="1"/>
    <xf numFmtId="170" fontId="7" fillId="0" borderId="5" xfId="1" applyNumberFormat="1" applyFont="1" applyBorder="1"/>
    <xf numFmtId="170" fontId="0" fillId="0" borderId="16" xfId="1" applyNumberFormat="1" applyFont="1" applyBorder="1"/>
    <xf numFmtId="170" fontId="2" fillId="0" borderId="16" xfId="1" applyNumberFormat="1" applyFont="1" applyBorder="1"/>
    <xf numFmtId="170" fontId="0" fillId="0" borderId="8" xfId="1" applyNumberFormat="1" applyFont="1" applyBorder="1"/>
    <xf numFmtId="170" fontId="0" fillId="6" borderId="5" xfId="1" applyNumberFormat="1" applyFont="1" applyFill="1" applyBorder="1"/>
    <xf numFmtId="0" fontId="2" fillId="6" borderId="4" xfId="0" applyFont="1" applyFill="1" applyBorder="1"/>
    <xf numFmtId="0" fontId="0" fillId="6" borderId="1" xfId="0" applyFill="1" applyBorder="1"/>
    <xf numFmtId="164" fontId="0" fillId="6" borderId="1" xfId="1" applyFont="1" applyFill="1" applyBorder="1"/>
    <xf numFmtId="164" fontId="1" fillId="6" borderId="1" xfId="1" applyFont="1" applyFill="1" applyBorder="1"/>
    <xf numFmtId="164" fontId="0" fillId="6" borderId="1" xfId="0" applyNumberFormat="1" applyFill="1" applyBorder="1"/>
    <xf numFmtId="170" fontId="0" fillId="6" borderId="1" xfId="1" applyNumberFormat="1" applyFont="1" applyFill="1" applyBorder="1"/>
    <xf numFmtId="164" fontId="2" fillId="2" borderId="3" xfId="1" applyFont="1" applyFill="1" applyBorder="1"/>
    <xf numFmtId="164" fontId="2" fillId="2" borderId="1" xfId="1" applyFont="1" applyFill="1" applyBorder="1"/>
    <xf numFmtId="9" fontId="0" fillId="0" borderId="0" xfId="2" applyFont="1"/>
    <xf numFmtId="0" fontId="2" fillId="3" borderId="4" xfId="0" applyFont="1" applyFill="1" applyBorder="1"/>
    <xf numFmtId="164" fontId="2" fillId="3" borderId="5" xfId="0" applyNumberFormat="1" applyFont="1" applyFill="1" applyBorder="1"/>
    <xf numFmtId="0" fontId="2" fillId="3" borderId="1" xfId="0" applyFont="1" applyFill="1" applyBorder="1" applyAlignment="1">
      <alignment wrapText="1"/>
    </xf>
    <xf numFmtId="164" fontId="2" fillId="0" borderId="0" xfId="1" applyFont="1" applyAlignment="1">
      <alignment wrapText="1"/>
    </xf>
    <xf numFmtId="170" fontId="2" fillId="0" borderId="0" xfId="1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3" borderId="11" xfId="0" applyFont="1" applyFill="1" applyBorder="1"/>
    <xf numFmtId="0" fontId="0" fillId="3" borderId="12" xfId="0" applyFill="1" applyBorder="1"/>
    <xf numFmtId="0" fontId="2" fillId="3" borderId="12" xfId="0" applyFont="1" applyFill="1" applyBorder="1"/>
    <xf numFmtId="164" fontId="2" fillId="3" borderId="12" xfId="1" applyFont="1" applyFill="1" applyBorder="1"/>
    <xf numFmtId="43" fontId="2" fillId="3" borderId="12" xfId="0" applyNumberFormat="1" applyFont="1" applyFill="1" applyBorder="1"/>
    <xf numFmtId="164" fontId="2" fillId="3" borderId="13" xfId="1" applyFont="1" applyFill="1" applyBorder="1"/>
    <xf numFmtId="164" fontId="0" fillId="0" borderId="17" xfId="0" applyNumberFormat="1" applyBorder="1"/>
    <xf numFmtId="164" fontId="2" fillId="0" borderId="17" xfId="0" applyNumberFormat="1" applyFont="1" applyBorder="1"/>
    <xf numFmtId="167" fontId="0" fillId="0" borderId="1" xfId="0" applyNumberFormat="1" applyBorder="1"/>
    <xf numFmtId="0" fontId="2" fillId="0" borderId="17" xfId="0" applyFont="1" applyBorder="1"/>
    <xf numFmtId="170" fontId="0" fillId="5" borderId="1" xfId="1" applyNumberFormat="1" applyFont="1" applyFill="1" applyBorder="1"/>
    <xf numFmtId="170" fontId="2" fillId="0" borderId="1" xfId="1" applyNumberFormat="1" applyFont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3" borderId="0" xfId="0" applyFont="1" applyFill="1"/>
    <xf numFmtId="0" fontId="2" fillId="0" borderId="0" xfId="0" applyFont="1" applyAlignment="1">
      <alignment horizontal="right"/>
    </xf>
    <xf numFmtId="170" fontId="2" fillId="3" borderId="0" xfId="1" applyNumberFormat="1" applyFont="1" applyFill="1"/>
    <xf numFmtId="0" fontId="7" fillId="3" borderId="0" xfId="0" applyFont="1" applyFill="1"/>
    <xf numFmtId="170" fontId="7" fillId="3" borderId="0" xfId="1" applyNumberFormat="1" applyFont="1" applyFill="1"/>
    <xf numFmtId="0" fontId="7" fillId="3" borderId="1" xfId="0" applyFont="1" applyFill="1" applyBorder="1" applyAlignment="1">
      <alignment wrapText="1"/>
    </xf>
    <xf numFmtId="170" fontId="12" fillId="0" borderId="0" xfId="0" applyNumberFormat="1" applyFont="1"/>
    <xf numFmtId="0" fontId="0" fillId="2" borderId="0" xfId="0" applyFill="1"/>
    <xf numFmtId="0" fontId="0" fillId="0" borderId="2" xfId="0" applyBorder="1" applyAlignment="1">
      <alignment wrapText="1"/>
    </xf>
    <xf numFmtId="165" fontId="0" fillId="0" borderId="0" xfId="0" applyNumberFormat="1"/>
    <xf numFmtId="170" fontId="2" fillId="0" borderId="0" xfId="1" applyNumberFormat="1" applyFont="1"/>
    <xf numFmtId="0" fontId="13" fillId="0" borderId="0" xfId="0" applyFont="1"/>
    <xf numFmtId="0" fontId="0" fillId="6" borderId="1" xfId="0" applyFill="1" applyBorder="1" applyAlignment="1">
      <alignment wrapText="1"/>
    </xf>
    <xf numFmtId="164" fontId="0" fillId="6" borderId="0" xfId="1" applyFont="1" applyFill="1"/>
    <xf numFmtId="0" fontId="0" fillId="2" borderId="0" xfId="0" applyFill="1" applyAlignment="1">
      <alignment wrapText="1"/>
    </xf>
    <xf numFmtId="0" fontId="2" fillId="0" borderId="0" xfId="0" applyFont="1" applyFill="1"/>
    <xf numFmtId="164" fontId="2" fillId="0" borderId="0" xfId="1" applyFont="1" applyFill="1"/>
    <xf numFmtId="0" fontId="0" fillId="0" borderId="0" xfId="0" applyFill="1"/>
    <xf numFmtId="43" fontId="0" fillId="0" borderId="0" xfId="0" applyNumberFormat="1" applyFill="1"/>
    <xf numFmtId="164" fontId="6" fillId="0" borderId="0" xfId="1" applyFont="1" applyFill="1" applyBorder="1"/>
    <xf numFmtId="43" fontId="2" fillId="0" borderId="0" xfId="0" applyNumberFormat="1" applyFont="1" applyFill="1"/>
    <xf numFmtId="165" fontId="1" fillId="0" borderId="0" xfId="1" applyNumberFormat="1" applyFont="1" applyFill="1" applyBorder="1"/>
    <xf numFmtId="0" fontId="3" fillId="0" borderId="0" xfId="0" applyFont="1" applyFill="1"/>
    <xf numFmtId="0" fontId="6" fillId="0" borderId="0" xfId="0" applyFont="1" applyFill="1"/>
    <xf numFmtId="165" fontId="0" fillId="0" borderId="0" xfId="1" applyNumberFormat="1" applyFont="1" applyFill="1" applyBorder="1"/>
    <xf numFmtId="165" fontId="2" fillId="0" borderId="0" xfId="1" applyNumberFormat="1" applyFont="1" applyFill="1" applyBorder="1"/>
    <xf numFmtId="0" fontId="2" fillId="0" borderId="2" xfId="0" applyFont="1" applyFill="1" applyBorder="1"/>
    <xf numFmtId="0" fontId="0" fillId="0" borderId="2" xfId="0" applyFill="1" applyBorder="1"/>
    <xf numFmtId="165" fontId="0" fillId="0" borderId="2" xfId="1" applyNumberFormat="1" applyFont="1" applyFill="1" applyBorder="1"/>
    <xf numFmtId="165" fontId="2" fillId="0" borderId="2" xfId="1" applyNumberFormat="1" applyFont="1" applyFill="1" applyBorder="1"/>
    <xf numFmtId="170" fontId="0" fillId="4" borderId="5" xfId="1" applyNumberFormat="1" applyFont="1" applyFill="1" applyBorder="1"/>
    <xf numFmtId="164" fontId="3" fillId="0" borderId="0" xfId="1" applyFont="1"/>
    <xf numFmtId="164" fontId="0" fillId="2" borderId="0" xfId="0" applyNumberFormat="1" applyFill="1"/>
    <xf numFmtId="0" fontId="0" fillId="5" borderId="0" xfId="0" applyFill="1" applyAlignment="1">
      <alignment wrapText="1"/>
    </xf>
    <xf numFmtId="170" fontId="0" fillId="5" borderId="5" xfId="1" applyNumberFormat="1" applyFont="1" applyFill="1" applyBorder="1"/>
    <xf numFmtId="164" fontId="0" fillId="5" borderId="0" xfId="1" applyFont="1" applyFill="1"/>
    <xf numFmtId="164" fontId="2" fillId="0" borderId="0" xfId="0" applyNumberFormat="1" applyFont="1"/>
    <xf numFmtId="9" fontId="0" fillId="0" borderId="1" xfId="2" applyFont="1" applyBorder="1"/>
    <xf numFmtId="9" fontId="2" fillId="0" borderId="1" xfId="2" applyFont="1" applyBorder="1"/>
    <xf numFmtId="173" fontId="0" fillId="0" borderId="0" xfId="1" applyNumberFormat="1" applyFont="1"/>
    <xf numFmtId="0" fontId="0" fillId="0" borderId="1" xfId="0" applyFont="1" applyBorder="1" applyAlignment="1">
      <alignment wrapText="1"/>
    </xf>
    <xf numFmtId="170" fontId="1" fillId="0" borderId="0" xfId="1" applyNumberFormat="1" applyFont="1"/>
    <xf numFmtId="0" fontId="0" fillId="4" borderId="0" xfId="0" applyFill="1"/>
    <xf numFmtId="0" fontId="3" fillId="4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E71C-7511-47DD-BF3C-113A5E673C5A}">
  <sheetPr>
    <tabColor rgb="FF92D050"/>
  </sheetPr>
  <dimension ref="A2:U79"/>
  <sheetViews>
    <sheetView tabSelected="1" topLeftCell="F1" workbookViewId="0">
      <selection activeCell="M11" sqref="M11"/>
    </sheetView>
    <sheetView topLeftCell="C6" workbookViewId="1">
      <selection activeCell="L16" sqref="L16"/>
    </sheetView>
  </sheetViews>
  <sheetFormatPr defaultRowHeight="14.4" x14ac:dyDescent="0.3"/>
  <cols>
    <col min="2" max="2" width="29.44140625" customWidth="1"/>
    <col min="3" max="3" width="12.6640625" customWidth="1"/>
    <col min="4" max="4" width="15" customWidth="1"/>
    <col min="5" max="5" width="11.6640625" customWidth="1"/>
    <col min="6" max="6" width="12.44140625" customWidth="1"/>
    <col min="7" max="7" width="11.44140625" customWidth="1"/>
    <col min="8" max="8" width="5.44140625" customWidth="1"/>
    <col min="9" max="9" width="1" customWidth="1"/>
    <col min="10" max="10" width="23.6640625" customWidth="1"/>
    <col min="11" max="11" width="10.6640625" customWidth="1"/>
    <col min="12" max="12" width="14.88671875" bestFit="1" customWidth="1"/>
    <col min="13" max="16" width="12.33203125" bestFit="1" customWidth="1"/>
    <col min="17" max="17" width="16.33203125" bestFit="1" customWidth="1"/>
  </cols>
  <sheetData>
    <row r="2" spans="2:21" x14ac:dyDescent="0.3">
      <c r="B2" t="s">
        <v>295</v>
      </c>
      <c r="C2" s="182">
        <f>C18/1.2</f>
        <v>2373.2932999999998</v>
      </c>
      <c r="D2" s="182">
        <f>D18/1.2</f>
        <v>2700.6440999999995</v>
      </c>
      <c r="E2" s="182">
        <f>E18/1.2</f>
        <v>2782.4818</v>
      </c>
      <c r="F2" s="182">
        <f>F18/1.2</f>
        <v>2864.3195000000001</v>
      </c>
      <c r="G2" s="182">
        <f>G18/1.2</f>
        <v>2946.1571999999996</v>
      </c>
    </row>
    <row r="3" spans="2:21" x14ac:dyDescent="0.3">
      <c r="B3" s="26" t="s">
        <v>294</v>
      </c>
      <c r="C3" s="174">
        <f>C16*C4/1.2</f>
        <v>736.53929999999991</v>
      </c>
      <c r="D3" s="174">
        <f>D16*D4/1.2</f>
        <v>1063.8901000000001</v>
      </c>
      <c r="E3" s="174">
        <f>E16*E4/1.2</f>
        <v>1145.7277999999999</v>
      </c>
      <c r="F3" s="174">
        <f>F16*F4/1.2</f>
        <v>1227.5654999999999</v>
      </c>
      <c r="G3" s="174">
        <f>G16*G4/1.2</f>
        <v>1309.4032000000002</v>
      </c>
    </row>
    <row r="4" spans="2:21" x14ac:dyDescent="0.3">
      <c r="C4">
        <v>0.45</v>
      </c>
      <c r="D4">
        <v>0.65</v>
      </c>
      <c r="E4">
        <v>0.7</v>
      </c>
      <c r="F4">
        <v>0.75</v>
      </c>
      <c r="G4">
        <v>0.8</v>
      </c>
      <c r="L4">
        <v>0.45</v>
      </c>
      <c r="M4" s="185">
        <v>0.65</v>
      </c>
      <c r="N4">
        <v>0.7</v>
      </c>
      <c r="O4">
        <v>0.75</v>
      </c>
      <c r="P4">
        <v>0.8</v>
      </c>
    </row>
    <row r="5" spans="2:21" ht="43.2" x14ac:dyDescent="0.3">
      <c r="B5" s="4" t="s">
        <v>109</v>
      </c>
      <c r="C5" s="126" t="str">
        <f>'Feasibility Report'!O3</f>
        <v>"45% additional area</v>
      </c>
      <c r="D5" s="128" t="str">
        <f>'Feasibility Report'!Q3</f>
        <v>"65% additional area</v>
      </c>
      <c r="E5" s="128" t="str">
        <f>'Feasibility Report'!R3</f>
        <v>"70% additioanl area</v>
      </c>
      <c r="F5" s="128" t="str">
        <f>'Feasibility Report'!S3</f>
        <v>"75% additional area</v>
      </c>
      <c r="G5" s="128" t="str">
        <f>'Feasibility Report'!T3</f>
        <v>"80% additional area</v>
      </c>
      <c r="L5" s="126" t="s">
        <v>234</v>
      </c>
      <c r="M5" s="128" t="s">
        <v>235</v>
      </c>
      <c r="N5" s="128" t="s">
        <v>236</v>
      </c>
      <c r="O5" s="128" t="s">
        <v>237</v>
      </c>
      <c r="P5" s="128" t="s">
        <v>238</v>
      </c>
    </row>
    <row r="6" spans="2:21" ht="16.2" x14ac:dyDescent="0.45">
      <c r="B6" s="39" t="s">
        <v>72</v>
      </c>
      <c r="C6" s="73">
        <f>'Feasibility Report'!O5</f>
        <v>1538.9</v>
      </c>
      <c r="D6" s="73">
        <f>'Feasibility Report'!Q5</f>
        <v>1538.9</v>
      </c>
      <c r="E6" s="73">
        <f>'Feasibility Report'!R5</f>
        <v>1538.9</v>
      </c>
      <c r="F6" s="73">
        <f>'Feasibility Report'!S5</f>
        <v>1538.9</v>
      </c>
      <c r="G6" s="73">
        <f>'Feasibility Report'!T5</f>
        <v>1538.9</v>
      </c>
      <c r="J6" s="4" t="s">
        <v>265</v>
      </c>
      <c r="L6" s="149">
        <f>C26</f>
        <v>53449.209947781819</v>
      </c>
      <c r="M6" s="149">
        <f t="shared" ref="M6:P6" si="0">D26</f>
        <v>49605.278299200014</v>
      </c>
      <c r="N6" s="149">
        <f t="shared" si="0"/>
        <v>48644.295387054553</v>
      </c>
      <c r="O6" s="149">
        <f t="shared" si="0"/>
        <v>47683.3124749091</v>
      </c>
      <c r="P6" s="149">
        <f t="shared" si="0"/>
        <v>46722.329562763647</v>
      </c>
    </row>
    <row r="7" spans="2:21" x14ac:dyDescent="0.3">
      <c r="B7" s="183" t="s">
        <v>73</v>
      </c>
      <c r="C7" s="184">
        <f>'Feasibility Report'!O6</f>
        <v>1538.9</v>
      </c>
      <c r="D7" s="184">
        <f>'Feasibility Report'!Q6</f>
        <v>1538.9</v>
      </c>
      <c r="E7" s="184">
        <f>'Feasibility Report'!R6</f>
        <v>1538.9</v>
      </c>
      <c r="F7" s="184">
        <f>'Feasibility Report'!S6</f>
        <v>1538.9</v>
      </c>
      <c r="G7" s="184">
        <f>'Feasibility Report'!T6</f>
        <v>1538.9</v>
      </c>
    </row>
    <row r="8" spans="2:21" x14ac:dyDescent="0.3">
      <c r="B8" t="str">
        <f>'Feasibility Report'!M13</f>
        <v>New Net Plot Area</v>
      </c>
      <c r="C8" s="73">
        <f>'Feasibility Report'!N13</f>
        <v>1465.9</v>
      </c>
      <c r="D8" s="73">
        <f>'Feasibility Report'!N13</f>
        <v>1465.9</v>
      </c>
      <c r="E8" s="73">
        <f>'Feasibility Report'!N13</f>
        <v>1465.9</v>
      </c>
      <c r="F8" s="73">
        <f>'Feasibility Report'!N13</f>
        <v>1465.9</v>
      </c>
      <c r="G8" s="73">
        <f>'Feasibility Report'!N13</f>
        <v>1465.9</v>
      </c>
      <c r="J8" s="26" t="s">
        <v>267</v>
      </c>
      <c r="K8" s="26"/>
    </row>
    <row r="9" spans="2:21" x14ac:dyDescent="0.3">
      <c r="C9" s="73"/>
      <c r="D9" s="73"/>
      <c r="E9" s="73"/>
      <c r="F9" s="73"/>
      <c r="G9" s="73"/>
      <c r="J9" t="s">
        <v>266</v>
      </c>
      <c r="L9" s="1">
        <f>L6*55000/10000000</f>
        <v>293.97065471280001</v>
      </c>
      <c r="M9" s="1">
        <f>M6*55000/10000000</f>
        <v>272.82903064560008</v>
      </c>
      <c r="N9" s="1">
        <f>N6*55000/10000000</f>
        <v>267.54362462880005</v>
      </c>
      <c r="O9" s="1">
        <f>O6*55000/10000000</f>
        <v>262.25821861200006</v>
      </c>
      <c r="P9" s="1">
        <f>P6*55000/10000000</f>
        <v>256.97281259520008</v>
      </c>
      <c r="Q9" s="152">
        <f>L9*10000000/L6</f>
        <v>55000.000000000007</v>
      </c>
    </row>
    <row r="10" spans="2:21" x14ac:dyDescent="0.3">
      <c r="B10" s="143" t="s">
        <v>66</v>
      </c>
      <c r="C10" s="145">
        <f>'Feasibility Report'!N15</f>
        <v>1634.33</v>
      </c>
      <c r="D10" s="145">
        <f>'Feasibility Report'!N15</f>
        <v>1634.33</v>
      </c>
      <c r="E10" s="145">
        <f>'Feasibility Report'!N15</f>
        <v>1634.33</v>
      </c>
      <c r="F10" s="145">
        <f>'Feasibility Report'!N15</f>
        <v>1634.33</v>
      </c>
      <c r="G10" s="145">
        <f>'Feasibility Report'!N15</f>
        <v>1634.33</v>
      </c>
      <c r="J10" t="s">
        <v>54</v>
      </c>
      <c r="L10" s="150"/>
      <c r="M10" s="150"/>
      <c r="N10" s="150"/>
      <c r="O10" s="150"/>
      <c r="P10" s="150"/>
    </row>
    <row r="11" spans="2:21" ht="28.8" x14ac:dyDescent="0.3">
      <c r="C11" s="73"/>
      <c r="D11" s="73"/>
      <c r="E11" s="73"/>
      <c r="F11" s="73"/>
      <c r="G11" s="73"/>
      <c r="J11" s="151" t="s">
        <v>312</v>
      </c>
      <c r="K11" s="151"/>
      <c r="L11" s="31">
        <f>90*2500000/10000000</f>
        <v>22.5</v>
      </c>
      <c r="M11" s="31">
        <f>L11</f>
        <v>22.5</v>
      </c>
      <c r="N11" s="31">
        <f t="shared" ref="N11:P11" si="1">M11</f>
        <v>22.5</v>
      </c>
      <c r="O11" s="31">
        <f t="shared" si="1"/>
        <v>22.5</v>
      </c>
      <c r="P11" s="31">
        <f t="shared" si="1"/>
        <v>22.5</v>
      </c>
      <c r="Q11" t="s">
        <v>311</v>
      </c>
    </row>
    <row r="12" spans="2:21" x14ac:dyDescent="0.3">
      <c r="B12" s="2" t="s">
        <v>67</v>
      </c>
      <c r="C12" s="73">
        <f>'Feasibility Report'!O17</f>
        <v>129.32900000000001</v>
      </c>
      <c r="D12" s="73">
        <f>'Feasibility Report'!O17</f>
        <v>129.32900000000001</v>
      </c>
      <c r="E12" s="73">
        <f>'Feasibility Report'!O17</f>
        <v>129.32900000000001</v>
      </c>
      <c r="F12" s="73">
        <f>'Feasibility Report'!O17</f>
        <v>129.32900000000001</v>
      </c>
      <c r="G12" s="73">
        <f>'Feasibility Report'!O17</f>
        <v>129.32900000000001</v>
      </c>
      <c r="L12" s="25">
        <f>SUM(L9:L11)</f>
        <v>316.47065471280001</v>
      </c>
      <c r="M12" s="25">
        <f t="shared" ref="M12:P12" si="2">SUM(M9:M11)</f>
        <v>295.32903064560008</v>
      </c>
      <c r="N12" s="25">
        <f t="shared" si="2"/>
        <v>290.04362462880005</v>
      </c>
      <c r="O12" s="25">
        <f t="shared" si="2"/>
        <v>284.75821861200006</v>
      </c>
      <c r="P12" s="25">
        <f t="shared" si="2"/>
        <v>279.47281259520008</v>
      </c>
    </row>
    <row r="13" spans="2:21" x14ac:dyDescent="0.3">
      <c r="B13" s="2" t="s">
        <v>224</v>
      </c>
      <c r="C13" s="73">
        <f>'Feasibility Report'!O18</f>
        <v>1498.33</v>
      </c>
      <c r="D13" s="73">
        <f>'Feasibility Report'!O18</f>
        <v>1498.33</v>
      </c>
      <c r="E13" s="73">
        <f>'Feasibility Report'!O18</f>
        <v>1498.33</v>
      </c>
      <c r="F13" s="73">
        <f>'Feasibility Report'!O18</f>
        <v>1498.33</v>
      </c>
      <c r="G13" s="73">
        <f>'Feasibility Report'!O18</f>
        <v>1498.33</v>
      </c>
    </row>
    <row r="14" spans="2:21" x14ac:dyDescent="0.3">
      <c r="B14" s="2" t="s">
        <v>225</v>
      </c>
      <c r="C14" s="73">
        <f>'Feasibility Report'!O19</f>
        <v>138.42400000000001</v>
      </c>
      <c r="D14" s="73">
        <f>'Feasibility Report'!O19</f>
        <v>138.42400000000001</v>
      </c>
      <c r="E14" s="73">
        <f>'Feasibility Report'!O19</f>
        <v>138.42400000000001</v>
      </c>
      <c r="F14" s="73">
        <f>'Feasibility Report'!O19</f>
        <v>138.42400000000001</v>
      </c>
      <c r="G14" s="73">
        <f>'Feasibility Report'!O19</f>
        <v>138.42400000000001</v>
      </c>
      <c r="J14" s="4" t="s">
        <v>268</v>
      </c>
      <c r="K14" s="154" t="s">
        <v>52</v>
      </c>
      <c r="L14" s="153">
        <f>C22*1.35*10.764</f>
        <v>120756.80588400002</v>
      </c>
      <c r="M14" s="153">
        <f>D22*1.35*10.764</f>
        <v>120756.80588400002</v>
      </c>
      <c r="N14" s="153">
        <f>E22*1.35*10.764</f>
        <v>120756.80588400002</v>
      </c>
      <c r="O14" s="153">
        <f>F22*1.35*10.764</f>
        <v>120756.80588400002</v>
      </c>
      <c r="P14" s="153">
        <f>G22*1.35*10.764</f>
        <v>120756.80588400002</v>
      </c>
    </row>
    <row r="15" spans="2:21" x14ac:dyDescent="0.3">
      <c r="B15" s="5" t="s">
        <v>226</v>
      </c>
      <c r="C15" s="73">
        <f>C13+C14</f>
        <v>1636.7539999999999</v>
      </c>
      <c r="D15" s="73">
        <f t="shared" ref="D15:G15" si="3">D13+D14</f>
        <v>1636.7539999999999</v>
      </c>
      <c r="E15" s="73">
        <f t="shared" si="3"/>
        <v>1636.7539999999999</v>
      </c>
      <c r="F15" s="73">
        <f t="shared" si="3"/>
        <v>1636.7539999999999</v>
      </c>
      <c r="G15" s="73">
        <f t="shared" si="3"/>
        <v>1636.7539999999999</v>
      </c>
      <c r="J15" t="s">
        <v>269</v>
      </c>
    </row>
    <row r="16" spans="2:21" ht="28.8" x14ac:dyDescent="0.3">
      <c r="B16" s="125" t="s">
        <v>71</v>
      </c>
      <c r="C16" s="145">
        <f>C15*1.2</f>
        <v>1964.1047999999998</v>
      </c>
      <c r="D16" s="145">
        <f t="shared" ref="D16:G16" si="4">D15*1.2</f>
        <v>1964.1047999999998</v>
      </c>
      <c r="E16" s="145">
        <f t="shared" si="4"/>
        <v>1964.1047999999998</v>
      </c>
      <c r="F16" s="145">
        <f t="shared" si="4"/>
        <v>1964.1047999999998</v>
      </c>
      <c r="G16" s="145">
        <f t="shared" si="4"/>
        <v>1964.1047999999998</v>
      </c>
      <c r="H16" t="s">
        <v>272</v>
      </c>
      <c r="J16" s="155" t="s">
        <v>270</v>
      </c>
      <c r="K16" s="156">
        <f>L14</f>
        <v>120756.80588400002</v>
      </c>
      <c r="L16" s="156">
        <f>K16*4720/10000000</f>
        <v>56.997212377248012</v>
      </c>
      <c r="M16" s="156">
        <f>L16</f>
        <v>56.997212377248012</v>
      </c>
      <c r="N16" s="156">
        <f t="shared" ref="N16:P16" si="5">M16</f>
        <v>56.997212377248012</v>
      </c>
      <c r="O16" s="156">
        <f t="shared" si="5"/>
        <v>56.997212377248012</v>
      </c>
      <c r="P16" s="156">
        <f t="shared" si="5"/>
        <v>56.997212377248012</v>
      </c>
      <c r="Q16" s="1">
        <f>L16/3</f>
        <v>18.999070792416003</v>
      </c>
      <c r="R16" s="1">
        <f>M16/3</f>
        <v>18.999070792416003</v>
      </c>
      <c r="S16" s="1">
        <f>N16/3</f>
        <v>18.999070792416003</v>
      </c>
      <c r="T16" s="1">
        <f>O16/3</f>
        <v>18.999070792416003</v>
      </c>
      <c r="U16" s="1">
        <f>P16/3</f>
        <v>18.999070792416003</v>
      </c>
    </row>
    <row r="17" spans="1:21" ht="28.8" x14ac:dyDescent="0.3">
      <c r="C17" s="73"/>
      <c r="D17" s="73"/>
      <c r="E17" s="73"/>
      <c r="F17" s="73"/>
      <c r="G17" s="73"/>
      <c r="H17" t="s">
        <v>272</v>
      </c>
      <c r="J17" s="155" t="s">
        <v>271</v>
      </c>
      <c r="K17" s="156">
        <v>35779.79</v>
      </c>
      <c r="L17" s="156">
        <f>35780*2950/10000000</f>
        <v>10.555099999999999</v>
      </c>
      <c r="M17" s="156">
        <f>L17</f>
        <v>10.555099999999999</v>
      </c>
      <c r="N17" s="156">
        <f t="shared" ref="N17:P17" si="6">M17</f>
        <v>10.555099999999999</v>
      </c>
      <c r="O17" s="156">
        <f t="shared" si="6"/>
        <v>10.555099999999999</v>
      </c>
      <c r="P17" s="156">
        <f t="shared" si="6"/>
        <v>10.555099999999999</v>
      </c>
      <c r="Q17" s="1">
        <f>L17/3</f>
        <v>3.5183666666666666</v>
      </c>
      <c r="R17" s="1">
        <f>M17/3</f>
        <v>3.5183666666666666</v>
      </c>
      <c r="S17" s="1">
        <f>N17/3</f>
        <v>3.5183666666666666</v>
      </c>
      <c r="T17" s="1">
        <f>O17/3</f>
        <v>3.5183666666666666</v>
      </c>
      <c r="U17" s="1">
        <f>P17/3</f>
        <v>3.5183666666666666</v>
      </c>
    </row>
    <row r="18" spans="1:21" ht="46.8" x14ac:dyDescent="0.3">
      <c r="A18" s="144" t="s">
        <v>74</v>
      </c>
      <c r="B18" s="148" t="s">
        <v>261</v>
      </c>
      <c r="C18" s="147">
        <f>C16*(1+C4)</f>
        <v>2847.9519599999999</v>
      </c>
      <c r="D18" s="147">
        <f>D16*(1+D4)</f>
        <v>3240.7729199999994</v>
      </c>
      <c r="E18" s="147">
        <f>E16*(1+E4)</f>
        <v>3338.9781599999997</v>
      </c>
      <c r="F18" s="147">
        <f>F16*(1+F4)</f>
        <v>3437.1833999999999</v>
      </c>
      <c r="G18" s="147">
        <f>G16*(1+G4)</f>
        <v>3535.3886399999997</v>
      </c>
      <c r="J18" t="s">
        <v>273</v>
      </c>
      <c r="K18" s="12"/>
      <c r="L18" s="12">
        <f>(L16+L17)*0.05</f>
        <v>3.3776156188624009</v>
      </c>
      <c r="M18" s="12">
        <f t="shared" ref="M18:P18" si="7">(M16+M17)*0.05</f>
        <v>3.3776156188624009</v>
      </c>
      <c r="N18" s="12">
        <f t="shared" si="7"/>
        <v>3.3776156188624009</v>
      </c>
      <c r="O18" s="12">
        <f t="shared" si="7"/>
        <v>3.3776156188624009</v>
      </c>
      <c r="P18" s="12">
        <f t="shared" si="7"/>
        <v>3.3776156188624009</v>
      </c>
      <c r="Q18" s="1">
        <f>L18/3</f>
        <v>1.1258718729541337</v>
      </c>
      <c r="R18" s="1">
        <f>M18/3</f>
        <v>1.1258718729541337</v>
      </c>
      <c r="S18" s="1">
        <f>N18/3</f>
        <v>1.1258718729541337</v>
      </c>
      <c r="T18" s="1">
        <f>O18/3</f>
        <v>1.1258718729541337</v>
      </c>
      <c r="U18" s="1">
        <f>P18/3</f>
        <v>1.1258718729541337</v>
      </c>
    </row>
    <row r="19" spans="1:21" x14ac:dyDescent="0.3">
      <c r="C19" s="73"/>
      <c r="D19" s="73"/>
      <c r="E19" s="73"/>
      <c r="F19" s="73"/>
      <c r="G19" s="73"/>
      <c r="J19" t="s">
        <v>274</v>
      </c>
      <c r="K19" s="12"/>
      <c r="L19" s="12">
        <f>((120757*4000)+(35780*2500))*6%/10000000</f>
        <v>3.4348679999999998</v>
      </c>
      <c r="M19" s="12">
        <f t="shared" ref="M19:P19" si="8">((120757*4000)+(35780*2500))*6%/10000000</f>
        <v>3.4348679999999998</v>
      </c>
      <c r="N19" s="12">
        <f t="shared" si="8"/>
        <v>3.4348679999999998</v>
      </c>
      <c r="O19" s="12">
        <f t="shared" si="8"/>
        <v>3.4348679999999998</v>
      </c>
      <c r="P19" s="12">
        <f t="shared" si="8"/>
        <v>3.4348679999999998</v>
      </c>
      <c r="Q19" s="1">
        <f>L19/3</f>
        <v>1.1449559999999999</v>
      </c>
      <c r="R19" s="1">
        <f>M19/3</f>
        <v>1.1449559999999999</v>
      </c>
      <c r="S19" s="1">
        <f>N19/3</f>
        <v>1.1449559999999999</v>
      </c>
      <c r="T19" s="1">
        <f>O19/3</f>
        <v>1.1449559999999999</v>
      </c>
      <c r="U19" s="1">
        <f>P19/3</f>
        <v>1.1449559999999999</v>
      </c>
    </row>
    <row r="20" spans="1:21" ht="28.8" x14ac:dyDescent="0.3">
      <c r="A20" t="s">
        <v>258</v>
      </c>
      <c r="B20" s="142" t="s">
        <v>228</v>
      </c>
      <c r="C20" s="73">
        <f>C7*4</f>
        <v>6155.6</v>
      </c>
      <c r="D20" s="73">
        <f t="shared" ref="D20:G20" si="9">D7*4</f>
        <v>6155.6</v>
      </c>
      <c r="E20" s="73">
        <f t="shared" si="9"/>
        <v>6155.6</v>
      </c>
      <c r="F20" s="73">
        <f t="shared" si="9"/>
        <v>6155.6</v>
      </c>
      <c r="G20" s="73">
        <f t="shared" si="9"/>
        <v>6155.6</v>
      </c>
      <c r="J20" t="s">
        <v>275</v>
      </c>
      <c r="K20" s="12"/>
      <c r="L20" s="12">
        <f>('Feasibility Report'!T65+'Feasibility Report'!T66)/10000000</f>
        <v>7.4529534834000017</v>
      </c>
      <c r="M20" s="12">
        <f>L20</f>
        <v>7.4529534834000017</v>
      </c>
      <c r="N20" s="12">
        <f t="shared" ref="N20:P20" si="10">M20</f>
        <v>7.4529534834000017</v>
      </c>
      <c r="O20" s="12">
        <f t="shared" si="10"/>
        <v>7.4529534834000017</v>
      </c>
      <c r="P20" s="12">
        <f t="shared" si="10"/>
        <v>7.4529534834000017</v>
      </c>
      <c r="Q20" s="7">
        <f>L20</f>
        <v>7.4529534834000017</v>
      </c>
      <c r="R20" s="7">
        <f>M20</f>
        <v>7.4529534834000017</v>
      </c>
      <c r="S20" s="7">
        <f>N20</f>
        <v>7.4529534834000017</v>
      </c>
      <c r="T20" s="7">
        <f>O20</f>
        <v>7.4529534834000017</v>
      </c>
      <c r="U20" s="7">
        <f>P20</f>
        <v>7.4529534834000017</v>
      </c>
    </row>
    <row r="21" spans="1:21" x14ac:dyDescent="0.3">
      <c r="B21" t="s">
        <v>259</v>
      </c>
      <c r="C21" s="73">
        <f>C20*0.35</f>
        <v>2154.46</v>
      </c>
      <c r="D21" s="73">
        <f t="shared" ref="D21:G21" si="11">D20*0.35</f>
        <v>2154.46</v>
      </c>
      <c r="E21" s="73">
        <f t="shared" si="11"/>
        <v>2154.46</v>
      </c>
      <c r="F21" s="73">
        <f t="shared" si="11"/>
        <v>2154.46</v>
      </c>
      <c r="G21" s="73">
        <f t="shared" si="11"/>
        <v>2154.46</v>
      </c>
      <c r="J21" t="s">
        <v>276</v>
      </c>
      <c r="K21" s="12"/>
      <c r="L21" s="12">
        <f>L20*3%</f>
        <v>0.22358860450200005</v>
      </c>
      <c r="M21" s="12">
        <f t="shared" ref="M21:P21" si="12">M20*3%</f>
        <v>0.22358860450200005</v>
      </c>
      <c r="N21" s="12">
        <f t="shared" si="12"/>
        <v>0.22358860450200005</v>
      </c>
      <c r="O21" s="12">
        <f t="shared" si="12"/>
        <v>0.22358860450200005</v>
      </c>
      <c r="P21" s="12">
        <f t="shared" si="12"/>
        <v>0.22358860450200005</v>
      </c>
      <c r="Q21" s="7">
        <f>L21</f>
        <v>0.22358860450200005</v>
      </c>
      <c r="R21" s="7">
        <f>M21</f>
        <v>0.22358860450200005</v>
      </c>
      <c r="S21" s="7">
        <f>N21</f>
        <v>0.22358860450200005</v>
      </c>
      <c r="T21" s="7">
        <f>O21</f>
        <v>0.22358860450200005</v>
      </c>
      <c r="U21" s="7">
        <f>P21</f>
        <v>0.22358860450200005</v>
      </c>
    </row>
    <row r="22" spans="1:21" x14ac:dyDescent="0.3">
      <c r="A22" s="144" t="s">
        <v>75</v>
      </c>
      <c r="B22" s="143" t="s">
        <v>260</v>
      </c>
      <c r="C22" s="145">
        <f>C20+C21</f>
        <v>8310.0600000000013</v>
      </c>
      <c r="D22" s="145">
        <f t="shared" ref="D22:G22" si="13">D20+D21</f>
        <v>8310.0600000000013</v>
      </c>
      <c r="E22" s="145">
        <f t="shared" si="13"/>
        <v>8310.0600000000013</v>
      </c>
      <c r="F22" s="145">
        <f t="shared" si="13"/>
        <v>8310.0600000000013</v>
      </c>
      <c r="G22" s="145">
        <f t="shared" si="13"/>
        <v>8310.0600000000013</v>
      </c>
      <c r="H22" s="21">
        <f>C22/C7</f>
        <v>5.4</v>
      </c>
      <c r="J22" s="2" t="s">
        <v>277</v>
      </c>
      <c r="K22" s="12">
        <v>732.95</v>
      </c>
      <c r="L22" s="12">
        <f>(K22*122580*0.5)/10000000</f>
        <v>4.4922505499999996</v>
      </c>
      <c r="M22" s="12">
        <f>(K22*122580*0.5)/10000000</f>
        <v>4.4922505499999996</v>
      </c>
      <c r="N22" s="12">
        <f>(K22*122580*0.5)/10000000</f>
        <v>4.4922505499999996</v>
      </c>
      <c r="O22" s="12">
        <f>(K22*122580*0.5)/10000000</f>
        <v>4.4922505499999996</v>
      </c>
      <c r="P22" s="12">
        <f>(K22*122580*0.5)/10000000</f>
        <v>4.4922505499999996</v>
      </c>
      <c r="Q22" s="7">
        <f>L22</f>
        <v>4.4922505499999996</v>
      </c>
      <c r="R22" s="7">
        <f>M22</f>
        <v>4.4922505499999996</v>
      </c>
      <c r="S22" s="7">
        <f>N22</f>
        <v>4.4922505499999996</v>
      </c>
      <c r="T22" s="7">
        <f>O22</f>
        <v>4.4922505499999996</v>
      </c>
      <c r="U22" s="7">
        <f>P22</f>
        <v>4.4922505499999996</v>
      </c>
    </row>
    <row r="23" spans="1:21" x14ac:dyDescent="0.3">
      <c r="C23" s="73"/>
      <c r="D23" s="73"/>
      <c r="E23" s="73"/>
      <c r="F23" s="73"/>
      <c r="G23" s="73"/>
      <c r="J23" s="2" t="s">
        <v>278</v>
      </c>
      <c r="K23" s="12">
        <v>1582.4445000000001</v>
      </c>
      <c r="L23" s="12">
        <f>(K23*122580*0.5)/10000000</f>
        <v>9.6988023405000003</v>
      </c>
      <c r="M23" s="12">
        <f>(K23*122580*0.5)/10000000</f>
        <v>9.6988023405000003</v>
      </c>
      <c r="N23" s="12">
        <f>(K23*122580*0.5)/10000000</f>
        <v>9.6988023405000003</v>
      </c>
      <c r="O23" s="12">
        <f>(K23*122580*0.5)/10000000</f>
        <v>9.6988023405000003</v>
      </c>
      <c r="P23" s="12">
        <f>(K23*122580*0.5)/10000000</f>
        <v>9.6988023405000003</v>
      </c>
      <c r="Q23" s="7">
        <f>L23</f>
        <v>9.6988023405000003</v>
      </c>
      <c r="R23" s="7">
        <f>M23</f>
        <v>9.6988023405000003</v>
      </c>
      <c r="S23" s="7">
        <f>N23</f>
        <v>9.6988023405000003</v>
      </c>
      <c r="T23" s="7">
        <f>O23</f>
        <v>9.6988023405000003</v>
      </c>
      <c r="U23" s="7">
        <f>P23</f>
        <v>9.6988023405000003</v>
      </c>
    </row>
    <row r="24" spans="1:21" x14ac:dyDescent="0.3">
      <c r="B24" s="143" t="s">
        <v>262</v>
      </c>
      <c r="C24" s="145">
        <f>C22-C18</f>
        <v>5462.108040000001</v>
      </c>
      <c r="D24" s="145">
        <f t="shared" ref="D24:G24" si="14">D22-D18</f>
        <v>5069.2870800000019</v>
      </c>
      <c r="E24" s="145">
        <f t="shared" si="14"/>
        <v>4971.0818400000016</v>
      </c>
      <c r="F24" s="145">
        <f t="shared" si="14"/>
        <v>4872.8766000000014</v>
      </c>
      <c r="G24" s="145">
        <f t="shared" si="14"/>
        <v>4774.6713600000021</v>
      </c>
      <c r="J24" t="s">
        <v>149</v>
      </c>
      <c r="K24" s="12"/>
      <c r="L24" s="12"/>
      <c r="M24" s="12"/>
      <c r="N24" s="12"/>
      <c r="O24" s="12"/>
      <c r="P24" s="12"/>
    </row>
    <row r="25" spans="1:21" ht="15.6" x14ac:dyDescent="0.3">
      <c r="B25" s="146" t="s">
        <v>263</v>
      </c>
      <c r="C25" s="147">
        <f>C24/1.1</f>
        <v>4965.552763636364</v>
      </c>
      <c r="D25" s="147">
        <f t="shared" ref="D25:G25" si="15">D24/1.1</f>
        <v>4608.4428000000016</v>
      </c>
      <c r="E25" s="147">
        <f t="shared" si="15"/>
        <v>4519.1653090909103</v>
      </c>
      <c r="F25" s="147">
        <f t="shared" si="15"/>
        <v>4429.8878181818191</v>
      </c>
      <c r="G25" s="147">
        <f t="shared" si="15"/>
        <v>4340.6103272727287</v>
      </c>
      <c r="J25" t="s">
        <v>280</v>
      </c>
      <c r="K25" s="12">
        <v>1245.7200000000003</v>
      </c>
      <c r="L25" s="12">
        <f>K25*170000/10000000</f>
        <v>21.177240000000005</v>
      </c>
      <c r="M25" s="12">
        <f>K25*170000/10000000</f>
        <v>21.177240000000005</v>
      </c>
      <c r="N25" s="12">
        <f>K25*170000/10000000</f>
        <v>21.177240000000005</v>
      </c>
      <c r="O25" s="12">
        <f>K25*170000/10000000</f>
        <v>21.177240000000005</v>
      </c>
      <c r="P25" s="12">
        <f>K25*170000/10000000</f>
        <v>21.177240000000005</v>
      </c>
      <c r="Q25" s="7">
        <f>L25</f>
        <v>21.177240000000005</v>
      </c>
      <c r="R25" s="7">
        <f>M25</f>
        <v>21.177240000000005</v>
      </c>
      <c r="S25" s="7">
        <f>N25</f>
        <v>21.177240000000005</v>
      </c>
      <c r="T25" s="7">
        <f>O25</f>
        <v>21.177240000000005</v>
      </c>
      <c r="U25" s="7">
        <f>P25</f>
        <v>21.177240000000005</v>
      </c>
    </row>
    <row r="26" spans="1:21" ht="15.6" x14ac:dyDescent="0.3">
      <c r="B26" s="146" t="s">
        <v>264</v>
      </c>
      <c r="C26" s="147">
        <f>C25*10.764</f>
        <v>53449.209947781819</v>
      </c>
      <c r="D26" s="147">
        <f t="shared" ref="D26:G26" si="16">D25*10.764</f>
        <v>49605.278299200014</v>
      </c>
      <c r="E26" s="147">
        <f t="shared" si="16"/>
        <v>48644.295387054553</v>
      </c>
      <c r="F26" s="147">
        <f t="shared" si="16"/>
        <v>47683.3124749091</v>
      </c>
      <c r="G26" s="147">
        <f t="shared" si="16"/>
        <v>46722.329562763647</v>
      </c>
      <c r="J26" t="s">
        <v>279</v>
      </c>
      <c r="K26" s="12">
        <v>0</v>
      </c>
      <c r="L26" s="12">
        <f>L25*6%</f>
        <v>1.2706344000000003</v>
      </c>
      <c r="M26" s="12">
        <f t="shared" ref="M26:P26" si="17">M25*6%</f>
        <v>1.2706344000000003</v>
      </c>
      <c r="N26" s="12">
        <f t="shared" si="17"/>
        <v>1.2706344000000003</v>
      </c>
      <c r="O26" s="12">
        <f t="shared" si="17"/>
        <v>1.2706344000000003</v>
      </c>
      <c r="P26" s="12">
        <f t="shared" si="17"/>
        <v>1.2706344000000003</v>
      </c>
      <c r="Q26" s="7">
        <f>L26</f>
        <v>1.2706344000000003</v>
      </c>
      <c r="R26" s="7">
        <f>M26</f>
        <v>1.2706344000000003</v>
      </c>
      <c r="S26" s="7">
        <f>N26</f>
        <v>1.2706344000000003</v>
      </c>
      <c r="T26" s="7">
        <f>O26</f>
        <v>1.2706344000000003</v>
      </c>
      <c r="U26" s="7">
        <f>P26</f>
        <v>1.2706344000000003</v>
      </c>
    </row>
    <row r="27" spans="1:21" ht="28.8" x14ac:dyDescent="0.3">
      <c r="J27" s="141" t="s">
        <v>281</v>
      </c>
      <c r="K27" s="12">
        <v>1245.7200000000003</v>
      </c>
      <c r="L27" s="12">
        <f>K27*20000*0.4/10000000</f>
        <v>0.99657600000000024</v>
      </c>
      <c r="M27" s="12">
        <f>K27*20000*0.4/10000000</f>
        <v>0.99657600000000024</v>
      </c>
      <c r="N27" s="12">
        <f>K27*20000*0.4/10000000</f>
        <v>0.99657600000000024</v>
      </c>
      <c r="O27" s="12">
        <f>K27*20000*0.4/10000000</f>
        <v>0.99657600000000024</v>
      </c>
      <c r="P27" s="12">
        <f>K27*20000*0.4/10000000</f>
        <v>0.99657600000000024</v>
      </c>
      <c r="Q27" s="7">
        <f>L27</f>
        <v>0.99657600000000024</v>
      </c>
      <c r="R27" s="7">
        <f>M27</f>
        <v>0.99657600000000024</v>
      </c>
      <c r="S27" s="7">
        <f>N27</f>
        <v>0.99657600000000024</v>
      </c>
      <c r="T27" s="7">
        <f>O27</f>
        <v>0.99657600000000024</v>
      </c>
      <c r="U27" s="7">
        <f>P27</f>
        <v>0.99657600000000024</v>
      </c>
    </row>
    <row r="28" spans="1:21" x14ac:dyDescent="0.3">
      <c r="B28" s="158"/>
      <c r="C28" s="159" t="s">
        <v>51</v>
      </c>
      <c r="D28" s="159" t="s">
        <v>52</v>
      </c>
      <c r="E28" s="160"/>
      <c r="F28" s="159"/>
      <c r="G28" s="160"/>
      <c r="J28" s="26" t="s">
        <v>282</v>
      </c>
      <c r="K28" s="12"/>
      <c r="L28" s="12"/>
      <c r="M28" s="12"/>
      <c r="N28" s="12"/>
      <c r="O28" s="12"/>
      <c r="P28" s="12"/>
    </row>
    <row r="29" spans="1:21" x14ac:dyDescent="0.3">
      <c r="B29" s="158" t="s">
        <v>53</v>
      </c>
      <c r="C29" s="100">
        <v>33</v>
      </c>
      <c r="D29" s="161">
        <f>'Feasibility Report'!O18*10.764</f>
        <v>16128.024119999998</v>
      </c>
      <c r="E29" s="160"/>
      <c r="F29" s="100"/>
      <c r="G29" s="160"/>
      <c r="J29" s="2" t="s">
        <v>247</v>
      </c>
      <c r="K29" s="12"/>
      <c r="L29" s="12">
        <f>'Feasibility Report'!T75/10000000</f>
        <v>0.24930180000000005</v>
      </c>
      <c r="M29" s="12">
        <f>L29</f>
        <v>0.24930180000000005</v>
      </c>
      <c r="N29" s="12">
        <f t="shared" ref="N29:P29" si="18">M29</f>
        <v>0.24930180000000005</v>
      </c>
      <c r="O29" s="12">
        <f t="shared" si="18"/>
        <v>0.24930180000000005</v>
      </c>
      <c r="P29" s="12">
        <f t="shared" si="18"/>
        <v>0.24930180000000005</v>
      </c>
      <c r="Q29" s="7">
        <f>L29</f>
        <v>0.24930180000000005</v>
      </c>
      <c r="R29" s="7">
        <f>M29</f>
        <v>0.24930180000000005</v>
      </c>
      <c r="S29" s="7">
        <f>N29</f>
        <v>0.24930180000000005</v>
      </c>
      <c r="T29" s="7">
        <f>O29</f>
        <v>0.24930180000000005</v>
      </c>
      <c r="U29" s="7">
        <f>P29</f>
        <v>0.24930180000000005</v>
      </c>
    </row>
    <row r="30" spans="1:21" ht="16.2" x14ac:dyDescent="0.45">
      <c r="B30" s="158" t="s">
        <v>54</v>
      </c>
      <c r="C30" s="100">
        <v>4</v>
      </c>
      <c r="D30" s="161">
        <f>'Feasibility Report'!O19*10.764</f>
        <v>1489.995936</v>
      </c>
      <c r="E30" s="160"/>
      <c r="F30" s="162"/>
      <c r="G30" s="160"/>
      <c r="J30" s="2" t="s">
        <v>163</v>
      </c>
      <c r="K30" s="12"/>
      <c r="L30" s="12">
        <f>'Feasibility Report'!T76/10000000</f>
        <v>8.9448784834000022E-3</v>
      </c>
      <c r="M30" s="12">
        <f t="shared" ref="M30:P30" si="19">L30</f>
        <v>8.9448784834000022E-3</v>
      </c>
      <c r="N30" s="12">
        <f t="shared" si="19"/>
        <v>8.9448784834000022E-3</v>
      </c>
      <c r="O30" s="12">
        <f t="shared" si="19"/>
        <v>8.9448784834000022E-3</v>
      </c>
      <c r="P30" s="12">
        <f t="shared" si="19"/>
        <v>8.9448784834000022E-3</v>
      </c>
      <c r="Q30" s="7">
        <f>L30</f>
        <v>8.9448784834000022E-3</v>
      </c>
      <c r="R30" s="7">
        <f>M30</f>
        <v>8.9448784834000022E-3</v>
      </c>
      <c r="S30" s="7">
        <f>N30</f>
        <v>8.9448784834000022E-3</v>
      </c>
      <c r="T30" s="7">
        <f>O30</f>
        <v>8.9448784834000022E-3</v>
      </c>
      <c r="U30" s="7">
        <f>P30</f>
        <v>8.9448784834000022E-3</v>
      </c>
    </row>
    <row r="31" spans="1:21" x14ac:dyDescent="0.3">
      <c r="B31" s="158"/>
      <c r="C31" s="163">
        <f>SUM(C29:C30)</f>
        <v>37</v>
      </c>
      <c r="D31" s="163">
        <f>SUM(D29:D30)</f>
        <v>17618.020055999998</v>
      </c>
      <c r="E31" s="160"/>
      <c r="F31" s="164"/>
      <c r="G31" s="160"/>
      <c r="J31" s="2" t="s">
        <v>164</v>
      </c>
      <c r="K31" s="12"/>
      <c r="L31" s="12">
        <f>'Feasibility Report'!T77/10000000</f>
        <v>4.4999999999999997E-3</v>
      </c>
      <c r="M31" s="12">
        <f t="shared" ref="M31:P31" si="20">L31</f>
        <v>4.4999999999999997E-3</v>
      </c>
      <c r="N31" s="12">
        <f t="shared" si="20"/>
        <v>4.4999999999999997E-3</v>
      </c>
      <c r="O31" s="12">
        <f t="shared" si="20"/>
        <v>4.4999999999999997E-3</v>
      </c>
      <c r="P31" s="12">
        <f t="shared" si="20"/>
        <v>4.4999999999999997E-3</v>
      </c>
      <c r="Q31" s="7">
        <f t="shared" ref="Q31:U54" si="21">L31</f>
        <v>4.4999999999999997E-3</v>
      </c>
      <c r="R31" s="7">
        <f t="shared" si="21"/>
        <v>4.4999999999999997E-3</v>
      </c>
      <c r="S31" s="7">
        <f t="shared" si="21"/>
        <v>4.4999999999999997E-3</v>
      </c>
      <c r="T31" s="7">
        <f t="shared" si="21"/>
        <v>4.4999999999999997E-3</v>
      </c>
      <c r="U31" s="7">
        <f t="shared" si="21"/>
        <v>4.4999999999999997E-3</v>
      </c>
    </row>
    <row r="32" spans="1:21" ht="28.8" x14ac:dyDescent="0.3">
      <c r="B32" s="158"/>
      <c r="C32" s="160"/>
      <c r="D32" s="100"/>
      <c r="E32" s="160"/>
      <c r="F32" s="100"/>
      <c r="G32" s="160"/>
      <c r="J32" s="37" t="s">
        <v>165</v>
      </c>
      <c r="K32" s="12"/>
      <c r="L32" s="12">
        <f>'Feasibility Report'!T78/10000000</f>
        <v>3.9605632552000007</v>
      </c>
      <c r="M32" s="12">
        <f t="shared" ref="M32:P32" si="22">L32</f>
        <v>3.9605632552000007</v>
      </c>
      <c r="N32" s="12">
        <f t="shared" si="22"/>
        <v>3.9605632552000007</v>
      </c>
      <c r="O32" s="12">
        <f t="shared" si="22"/>
        <v>3.9605632552000007</v>
      </c>
      <c r="P32" s="12">
        <f t="shared" si="22"/>
        <v>3.9605632552000007</v>
      </c>
      <c r="Q32" s="7">
        <f t="shared" si="21"/>
        <v>3.9605632552000007</v>
      </c>
      <c r="R32" s="7">
        <f t="shared" si="21"/>
        <v>3.9605632552000007</v>
      </c>
      <c r="S32" s="7">
        <f t="shared" si="21"/>
        <v>3.9605632552000007</v>
      </c>
      <c r="T32" s="7">
        <f t="shared" si="21"/>
        <v>3.9605632552000007</v>
      </c>
      <c r="U32" s="7">
        <f t="shared" si="21"/>
        <v>3.9605632552000007</v>
      </c>
    </row>
    <row r="33" spans="2:21" ht="16.2" x14ac:dyDescent="0.45">
      <c r="B33" s="165" t="s">
        <v>55</v>
      </c>
      <c r="C33" s="165" t="s">
        <v>292</v>
      </c>
      <c r="D33" s="166" t="s">
        <v>56</v>
      </c>
      <c r="E33" s="162" t="s">
        <v>57</v>
      </c>
      <c r="F33" s="162" t="s">
        <v>58</v>
      </c>
      <c r="G33" s="160"/>
      <c r="J33" s="2" t="s">
        <v>120</v>
      </c>
      <c r="K33" s="12"/>
      <c r="L33" s="12">
        <f>'Feasibility Report'!T79/10000000</f>
        <v>0</v>
      </c>
      <c r="M33" s="12">
        <f t="shared" ref="M33:P33" si="23">L33</f>
        <v>0</v>
      </c>
      <c r="N33" s="12">
        <f t="shared" si="23"/>
        <v>0</v>
      </c>
      <c r="O33" s="12">
        <f t="shared" si="23"/>
        <v>0</v>
      </c>
      <c r="P33" s="12">
        <f t="shared" si="23"/>
        <v>0</v>
      </c>
      <c r="Q33" s="7">
        <f t="shared" si="21"/>
        <v>0</v>
      </c>
      <c r="R33" s="7">
        <f t="shared" si="21"/>
        <v>0</v>
      </c>
      <c r="S33" s="7">
        <f t="shared" si="21"/>
        <v>0</v>
      </c>
      <c r="T33" s="7">
        <f t="shared" si="21"/>
        <v>0</v>
      </c>
      <c r="U33" s="7">
        <f t="shared" si="21"/>
        <v>0</v>
      </c>
    </row>
    <row r="34" spans="2:21" ht="57.6" x14ac:dyDescent="0.3">
      <c r="B34" s="158" t="s">
        <v>53</v>
      </c>
      <c r="C34" s="160">
        <v>150</v>
      </c>
      <c r="D34" s="167">
        <f>D29*C34*12</f>
        <v>29030443.415999997</v>
      </c>
      <c r="E34" s="164">
        <f>D34*1.1</f>
        <v>31933487.757599998</v>
      </c>
      <c r="F34" s="164">
        <f>E34*1.1</f>
        <v>35126836.533360004</v>
      </c>
      <c r="G34" s="160"/>
      <c r="J34" s="37" t="s">
        <v>248</v>
      </c>
      <c r="K34" s="12"/>
      <c r="L34" s="12">
        <f>'Feasibility Report'!T80/10000000</f>
        <v>0.179690022</v>
      </c>
      <c r="M34" s="12">
        <f t="shared" ref="M34:P34" si="24">L34</f>
        <v>0.179690022</v>
      </c>
      <c r="N34" s="12">
        <f t="shared" si="24"/>
        <v>0.179690022</v>
      </c>
      <c r="O34" s="12">
        <f t="shared" si="24"/>
        <v>0.179690022</v>
      </c>
      <c r="P34" s="12">
        <f t="shared" si="24"/>
        <v>0.179690022</v>
      </c>
      <c r="Q34" s="7">
        <f t="shared" si="21"/>
        <v>0.179690022</v>
      </c>
      <c r="R34" s="7">
        <f t="shared" si="21"/>
        <v>0.179690022</v>
      </c>
      <c r="S34" s="7">
        <f t="shared" si="21"/>
        <v>0.179690022</v>
      </c>
      <c r="T34" s="7">
        <f t="shared" si="21"/>
        <v>0.179690022</v>
      </c>
      <c r="U34" s="7">
        <f t="shared" si="21"/>
        <v>0.179690022</v>
      </c>
    </row>
    <row r="35" spans="2:21" ht="43.2" x14ac:dyDescent="0.3">
      <c r="B35" s="158" t="s">
        <v>54</v>
      </c>
      <c r="C35" s="160">
        <v>300</v>
      </c>
      <c r="D35" s="167">
        <f>D30*C35*12</f>
        <v>5363985.3695999999</v>
      </c>
      <c r="E35" s="164">
        <f>D35*1.1</f>
        <v>5900383.90656</v>
      </c>
      <c r="F35" s="164">
        <f>E35*1.1</f>
        <v>6490422.297216001</v>
      </c>
      <c r="G35" s="160"/>
      <c r="J35" s="37" t="s">
        <v>121</v>
      </c>
      <c r="K35" s="12"/>
      <c r="L35" s="12">
        <f>'Feasibility Report'!T81/10000000</f>
        <v>1.0057074200000002E-2</v>
      </c>
      <c r="M35" s="12">
        <f t="shared" ref="M35:P35" si="25">L35</f>
        <v>1.0057074200000002E-2</v>
      </c>
      <c r="N35" s="12">
        <f t="shared" si="25"/>
        <v>1.0057074200000002E-2</v>
      </c>
      <c r="O35" s="12">
        <f t="shared" si="25"/>
        <v>1.0057074200000002E-2</v>
      </c>
      <c r="P35" s="12">
        <f t="shared" si="25"/>
        <v>1.0057074200000002E-2</v>
      </c>
      <c r="Q35" s="7">
        <f t="shared" si="21"/>
        <v>1.0057074200000002E-2</v>
      </c>
      <c r="R35" s="7">
        <f t="shared" si="21"/>
        <v>1.0057074200000002E-2</v>
      </c>
      <c r="S35" s="7">
        <f t="shared" si="21"/>
        <v>1.0057074200000002E-2</v>
      </c>
      <c r="T35" s="7">
        <f t="shared" si="21"/>
        <v>1.0057074200000002E-2</v>
      </c>
      <c r="U35" s="7">
        <f t="shared" si="21"/>
        <v>1.0057074200000002E-2</v>
      </c>
    </row>
    <row r="36" spans="2:21" x14ac:dyDescent="0.3">
      <c r="B36" s="158" t="s">
        <v>59</v>
      </c>
      <c r="C36" s="160" t="s">
        <v>53</v>
      </c>
      <c r="D36" s="167">
        <f>C34*D29</f>
        <v>2419203.6179999998</v>
      </c>
      <c r="E36" s="168"/>
      <c r="F36" s="168"/>
      <c r="G36" s="160"/>
      <c r="J36" s="11">
        <f>K36*10.7639</f>
        <v>0</v>
      </c>
      <c r="K36" s="12"/>
      <c r="L36" s="12">
        <f>'Feasibility Report'!T82/10000000</f>
        <v>0</v>
      </c>
      <c r="M36" s="12">
        <f t="shared" ref="M36:P36" si="26">L36</f>
        <v>0</v>
      </c>
      <c r="N36" s="12">
        <f t="shared" si="26"/>
        <v>0</v>
      </c>
      <c r="O36" s="12">
        <f t="shared" si="26"/>
        <v>0</v>
      </c>
      <c r="P36" s="12">
        <f t="shared" si="26"/>
        <v>0</v>
      </c>
      <c r="Q36" s="7">
        <f t="shared" si="21"/>
        <v>0</v>
      </c>
      <c r="R36" s="7">
        <f t="shared" si="21"/>
        <v>0</v>
      </c>
      <c r="S36" s="7">
        <f t="shared" si="21"/>
        <v>0</v>
      </c>
      <c r="T36" s="7">
        <f t="shared" si="21"/>
        <v>0</v>
      </c>
      <c r="U36" s="7">
        <f t="shared" si="21"/>
        <v>0</v>
      </c>
    </row>
    <row r="37" spans="2:21" x14ac:dyDescent="0.3">
      <c r="B37" s="158" t="s">
        <v>59</v>
      </c>
      <c r="C37" s="160" t="s">
        <v>54</v>
      </c>
      <c r="D37" s="167">
        <f>C35*D30</f>
        <v>446998.78080000001</v>
      </c>
      <c r="E37" s="168"/>
      <c r="F37" s="168"/>
      <c r="G37" s="160"/>
      <c r="J37" s="2" t="s">
        <v>249</v>
      </c>
      <c r="K37" s="12"/>
      <c r="L37" s="12">
        <f>'Feasibility Report'!T83/10000000</f>
        <v>0.35633578830300006</v>
      </c>
      <c r="M37" s="12">
        <f t="shared" ref="M37:P37" si="27">L37</f>
        <v>0.35633578830300006</v>
      </c>
      <c r="N37" s="12">
        <f t="shared" si="27"/>
        <v>0.35633578830300006</v>
      </c>
      <c r="O37" s="12">
        <f t="shared" si="27"/>
        <v>0.35633578830300006</v>
      </c>
      <c r="P37" s="12">
        <f t="shared" si="27"/>
        <v>0.35633578830300006</v>
      </c>
      <c r="Q37" s="7">
        <f t="shared" si="21"/>
        <v>0.35633578830300006</v>
      </c>
      <c r="R37" s="7">
        <f t="shared" si="21"/>
        <v>0.35633578830300006</v>
      </c>
      <c r="S37" s="7">
        <f t="shared" si="21"/>
        <v>0.35633578830300006</v>
      </c>
      <c r="T37" s="7">
        <f t="shared" si="21"/>
        <v>0.35633578830300006</v>
      </c>
      <c r="U37" s="7">
        <f t="shared" si="21"/>
        <v>0.35633578830300006</v>
      </c>
    </row>
    <row r="38" spans="2:21" x14ac:dyDescent="0.3">
      <c r="B38" s="169" t="s">
        <v>293</v>
      </c>
      <c r="C38" s="170"/>
      <c r="D38" s="171">
        <f>30000*C31</f>
        <v>1110000</v>
      </c>
      <c r="E38" s="171"/>
      <c r="F38" s="172"/>
      <c r="G38" s="160"/>
      <c r="J38" s="115" t="s">
        <v>122</v>
      </c>
      <c r="K38" s="12"/>
      <c r="L38" s="12">
        <f>'Feasibility Report'!T84/10000000</f>
        <v>15</v>
      </c>
      <c r="M38" s="12">
        <f t="shared" ref="M38:P38" si="28">L38</f>
        <v>15</v>
      </c>
      <c r="N38" s="12">
        <f t="shared" si="28"/>
        <v>15</v>
      </c>
      <c r="O38" s="12">
        <f t="shared" si="28"/>
        <v>15</v>
      </c>
      <c r="P38" s="12">
        <f t="shared" si="28"/>
        <v>15</v>
      </c>
      <c r="Q38" s="7">
        <f t="shared" si="21"/>
        <v>15</v>
      </c>
      <c r="R38" s="7">
        <f t="shared" si="21"/>
        <v>15</v>
      </c>
      <c r="S38" s="7">
        <f t="shared" si="21"/>
        <v>15</v>
      </c>
      <c r="T38" s="7">
        <f t="shared" si="21"/>
        <v>15</v>
      </c>
      <c r="U38" s="7">
        <f t="shared" si="21"/>
        <v>15</v>
      </c>
    </row>
    <row r="39" spans="2:21" x14ac:dyDescent="0.3">
      <c r="B39" s="160"/>
      <c r="C39" s="160"/>
      <c r="D39" s="167">
        <f>SUM(D34:D38)</f>
        <v>38370631.1844</v>
      </c>
      <c r="E39" s="167">
        <f t="shared" ref="E39:F39" si="29">SUM(E34:E38)</f>
        <v>37833871.664159998</v>
      </c>
      <c r="F39" s="167">
        <f t="shared" si="29"/>
        <v>41617258.830576003</v>
      </c>
      <c r="G39" s="160"/>
      <c r="J39" s="2" t="s">
        <v>123</v>
      </c>
      <c r="K39" s="12"/>
      <c r="L39" s="12">
        <f>'Feasibility Report'!T85/10000000</f>
        <v>5.093235774</v>
      </c>
      <c r="M39" s="12">
        <f t="shared" ref="M39:P39" si="30">L39</f>
        <v>5.093235774</v>
      </c>
      <c r="N39" s="12">
        <f t="shared" si="30"/>
        <v>5.093235774</v>
      </c>
      <c r="O39" s="12">
        <f t="shared" si="30"/>
        <v>5.093235774</v>
      </c>
      <c r="P39" s="12">
        <f t="shared" si="30"/>
        <v>5.093235774</v>
      </c>
      <c r="Q39" s="7">
        <f t="shared" si="21"/>
        <v>5.093235774</v>
      </c>
      <c r="R39" s="7">
        <f t="shared" si="21"/>
        <v>5.093235774</v>
      </c>
      <c r="S39" s="7">
        <f t="shared" si="21"/>
        <v>5.093235774</v>
      </c>
      <c r="T39" s="7">
        <f t="shared" si="21"/>
        <v>5.093235774</v>
      </c>
      <c r="U39" s="7">
        <f t="shared" si="21"/>
        <v>5.093235774</v>
      </c>
    </row>
    <row r="40" spans="2:21" x14ac:dyDescent="0.3">
      <c r="B40" s="165"/>
      <c r="C40" s="158" t="s">
        <v>61</v>
      </c>
      <c r="D40" s="163">
        <f>D39/10000000</f>
        <v>3.8370631184400001</v>
      </c>
      <c r="E40" s="163">
        <f>E39/10000000</f>
        <v>3.7833871664159999</v>
      </c>
      <c r="F40" s="163">
        <f>F39/10000000</f>
        <v>4.1617258830576001</v>
      </c>
      <c r="G40" s="160"/>
      <c r="J40" s="2" t="s">
        <v>250</v>
      </c>
      <c r="K40" s="12"/>
      <c r="L40" s="12">
        <f>'Feasibility Report'!T86/10000000</f>
        <v>0.5721476310000001</v>
      </c>
      <c r="M40" s="12">
        <f t="shared" ref="M40:P40" si="31">L40</f>
        <v>0.5721476310000001</v>
      </c>
      <c r="N40" s="12">
        <f t="shared" si="31"/>
        <v>0.5721476310000001</v>
      </c>
      <c r="O40" s="12">
        <f t="shared" si="31"/>
        <v>0.5721476310000001</v>
      </c>
      <c r="P40" s="12">
        <f t="shared" si="31"/>
        <v>0.5721476310000001</v>
      </c>
      <c r="Q40" s="7">
        <f t="shared" si="21"/>
        <v>0.5721476310000001</v>
      </c>
      <c r="R40" s="7">
        <f t="shared" si="21"/>
        <v>0.5721476310000001</v>
      </c>
      <c r="S40" s="7">
        <f t="shared" si="21"/>
        <v>0.5721476310000001</v>
      </c>
      <c r="T40" s="7">
        <f t="shared" si="21"/>
        <v>0.5721476310000001</v>
      </c>
      <c r="U40" s="7">
        <f t="shared" si="21"/>
        <v>0.5721476310000001</v>
      </c>
    </row>
    <row r="41" spans="2:21" x14ac:dyDescent="0.3">
      <c r="B41" s="160"/>
      <c r="C41" s="160" t="s">
        <v>62</v>
      </c>
      <c r="D41" s="160"/>
      <c r="E41" s="100"/>
      <c r="F41" s="100">
        <f>SUM(D40:F40)</f>
        <v>11.782176167913601</v>
      </c>
      <c r="G41" s="160"/>
      <c r="J41" s="2" t="s">
        <v>251</v>
      </c>
      <c r="K41" s="12"/>
      <c r="L41" s="12">
        <f>'Feasibility Report'!T87/10000000</f>
        <v>0.13994301355000002</v>
      </c>
      <c r="M41" s="12">
        <f t="shared" ref="M41:P41" si="32">L41</f>
        <v>0.13994301355000002</v>
      </c>
      <c r="N41" s="12">
        <f t="shared" si="32"/>
        <v>0.13994301355000002</v>
      </c>
      <c r="O41" s="12">
        <f t="shared" si="32"/>
        <v>0.13994301355000002</v>
      </c>
      <c r="P41" s="12">
        <f t="shared" si="32"/>
        <v>0.13994301355000002</v>
      </c>
      <c r="Q41" s="7">
        <f t="shared" si="21"/>
        <v>0.13994301355000002</v>
      </c>
      <c r="R41" s="7">
        <f t="shared" si="21"/>
        <v>0.13994301355000002</v>
      </c>
      <c r="S41" s="7">
        <f t="shared" si="21"/>
        <v>0.13994301355000002</v>
      </c>
      <c r="T41" s="7">
        <f t="shared" si="21"/>
        <v>0.13994301355000002</v>
      </c>
      <c r="U41" s="7">
        <f t="shared" si="21"/>
        <v>0.13994301355000002</v>
      </c>
    </row>
    <row r="42" spans="2:21" x14ac:dyDescent="0.3">
      <c r="J42" s="2" t="s">
        <v>252</v>
      </c>
      <c r="K42" s="12"/>
      <c r="L42" s="12">
        <f>'Feasibility Report'!T88/10000000</f>
        <v>0.17949729600000006</v>
      </c>
      <c r="M42" s="12">
        <f t="shared" ref="M42:P42" si="33">L42</f>
        <v>0.17949729600000006</v>
      </c>
      <c r="N42" s="12">
        <f t="shared" si="33"/>
        <v>0.17949729600000006</v>
      </c>
      <c r="O42" s="12">
        <f t="shared" si="33"/>
        <v>0.17949729600000006</v>
      </c>
      <c r="P42" s="12">
        <f t="shared" si="33"/>
        <v>0.17949729600000006</v>
      </c>
      <c r="Q42" s="7">
        <f t="shared" si="21"/>
        <v>0.17949729600000006</v>
      </c>
      <c r="R42" s="7">
        <f t="shared" si="21"/>
        <v>0.17949729600000006</v>
      </c>
      <c r="S42" s="7">
        <f t="shared" si="21"/>
        <v>0.17949729600000006</v>
      </c>
      <c r="T42" s="7">
        <f t="shared" si="21"/>
        <v>0.17949729600000006</v>
      </c>
      <c r="U42" s="7">
        <f t="shared" si="21"/>
        <v>0.17949729600000006</v>
      </c>
    </row>
    <row r="43" spans="2:21" x14ac:dyDescent="0.3">
      <c r="J43" s="2" t="s">
        <v>253</v>
      </c>
      <c r="K43" s="12"/>
      <c r="L43" s="12">
        <f>'Feasibility Report'!T89/10000000</f>
        <v>1.7949729600000002E-2</v>
      </c>
      <c r="M43" s="12">
        <f t="shared" ref="M43:P43" si="34">L43</f>
        <v>1.7949729600000002E-2</v>
      </c>
      <c r="N43" s="12">
        <f t="shared" si="34"/>
        <v>1.7949729600000002E-2</v>
      </c>
      <c r="O43" s="12">
        <f t="shared" si="34"/>
        <v>1.7949729600000002E-2</v>
      </c>
      <c r="P43" s="12">
        <f t="shared" si="34"/>
        <v>1.7949729600000002E-2</v>
      </c>
      <c r="Q43" s="7">
        <f t="shared" si="21"/>
        <v>1.7949729600000002E-2</v>
      </c>
      <c r="R43" s="7">
        <f t="shared" si="21"/>
        <v>1.7949729600000002E-2</v>
      </c>
      <c r="S43" s="7">
        <f t="shared" si="21"/>
        <v>1.7949729600000002E-2</v>
      </c>
      <c r="T43" s="7">
        <f t="shared" si="21"/>
        <v>1.7949729600000002E-2</v>
      </c>
      <c r="U43" s="7">
        <f t="shared" si="21"/>
        <v>1.7949729600000002E-2</v>
      </c>
    </row>
    <row r="44" spans="2:21" ht="43.2" x14ac:dyDescent="0.3">
      <c r="J44" s="37" t="s">
        <v>254</v>
      </c>
      <c r="K44" s="12"/>
      <c r="L44" s="12">
        <f>'Feasibility Report'!T90/10000000</f>
        <v>1.99088927272</v>
      </c>
      <c r="M44" s="12">
        <f t="shared" ref="M44:P44" si="35">L44</f>
        <v>1.99088927272</v>
      </c>
      <c r="N44" s="12">
        <f t="shared" si="35"/>
        <v>1.99088927272</v>
      </c>
      <c r="O44" s="12">
        <f t="shared" si="35"/>
        <v>1.99088927272</v>
      </c>
      <c r="P44" s="12">
        <f t="shared" si="35"/>
        <v>1.99088927272</v>
      </c>
      <c r="Q44" s="7">
        <f t="shared" si="21"/>
        <v>1.99088927272</v>
      </c>
      <c r="R44" s="7">
        <f t="shared" si="21"/>
        <v>1.99088927272</v>
      </c>
      <c r="S44" s="7">
        <f t="shared" si="21"/>
        <v>1.99088927272</v>
      </c>
      <c r="T44" s="7">
        <f t="shared" si="21"/>
        <v>1.99088927272</v>
      </c>
      <c r="U44" s="7">
        <f t="shared" si="21"/>
        <v>1.99088927272</v>
      </c>
    </row>
    <row r="45" spans="2:21" x14ac:dyDescent="0.3">
      <c r="J45" s="2" t="s">
        <v>124</v>
      </c>
      <c r="K45" s="12"/>
      <c r="L45" s="12">
        <f>'Feasibility Report'!T91/10000000</f>
        <v>1.4022367488</v>
      </c>
      <c r="M45" s="12">
        <f t="shared" ref="M45:P45" si="36">L45</f>
        <v>1.4022367488</v>
      </c>
      <c r="N45" s="12">
        <f t="shared" si="36"/>
        <v>1.4022367488</v>
      </c>
      <c r="O45" s="12">
        <f t="shared" si="36"/>
        <v>1.4022367488</v>
      </c>
      <c r="P45" s="12">
        <f t="shared" si="36"/>
        <v>1.4022367488</v>
      </c>
      <c r="Q45" s="7">
        <f t="shared" si="21"/>
        <v>1.4022367488</v>
      </c>
      <c r="R45" s="7">
        <f t="shared" si="21"/>
        <v>1.4022367488</v>
      </c>
      <c r="S45" s="7">
        <f t="shared" si="21"/>
        <v>1.4022367488</v>
      </c>
      <c r="T45" s="7">
        <f t="shared" si="21"/>
        <v>1.4022367488</v>
      </c>
      <c r="U45" s="7">
        <f t="shared" si="21"/>
        <v>1.4022367488</v>
      </c>
    </row>
    <row r="46" spans="2:21" x14ac:dyDescent="0.3">
      <c r="J46" s="2" t="s">
        <v>175</v>
      </c>
      <c r="K46" s="12"/>
      <c r="L46" s="12">
        <f>'Feasibility Report'!T92/10000000</f>
        <v>0.1</v>
      </c>
      <c r="M46" s="12">
        <f t="shared" ref="M46:P46" si="37">L46</f>
        <v>0.1</v>
      </c>
      <c r="N46" s="12">
        <f t="shared" si="37"/>
        <v>0.1</v>
      </c>
      <c r="O46" s="12">
        <f t="shared" si="37"/>
        <v>0.1</v>
      </c>
      <c r="P46" s="12">
        <f t="shared" si="37"/>
        <v>0.1</v>
      </c>
      <c r="Q46" s="7">
        <f t="shared" si="21"/>
        <v>0.1</v>
      </c>
      <c r="R46" s="7">
        <f t="shared" si="21"/>
        <v>0.1</v>
      </c>
      <c r="S46" s="7">
        <f t="shared" si="21"/>
        <v>0.1</v>
      </c>
      <c r="T46" s="7">
        <f t="shared" si="21"/>
        <v>0.1</v>
      </c>
      <c r="U46" s="7">
        <f t="shared" si="21"/>
        <v>0.1</v>
      </c>
    </row>
    <row r="47" spans="2:21" x14ac:dyDescent="0.3">
      <c r="J47" s="2" t="s">
        <v>125</v>
      </c>
      <c r="K47" s="12"/>
      <c r="L47" s="12">
        <f>'Feasibility Report'!T93/10000000</f>
        <v>0.16298354500000001</v>
      </c>
      <c r="M47" s="12">
        <f t="shared" ref="M47:P47" si="38">L47</f>
        <v>0.16298354500000001</v>
      </c>
      <c r="N47" s="12">
        <f t="shared" si="38"/>
        <v>0.16298354500000001</v>
      </c>
      <c r="O47" s="12">
        <f t="shared" si="38"/>
        <v>0.16298354500000001</v>
      </c>
      <c r="P47" s="12">
        <f t="shared" si="38"/>
        <v>0.16298354500000001</v>
      </c>
      <c r="Q47" s="7">
        <f t="shared" si="21"/>
        <v>0.16298354500000001</v>
      </c>
      <c r="R47" s="7">
        <f t="shared" si="21"/>
        <v>0.16298354500000001</v>
      </c>
      <c r="S47" s="7">
        <f t="shared" si="21"/>
        <v>0.16298354500000001</v>
      </c>
      <c r="T47" s="7">
        <f t="shared" si="21"/>
        <v>0.16298354500000001</v>
      </c>
      <c r="U47" s="7">
        <f t="shared" si="21"/>
        <v>0.16298354500000001</v>
      </c>
    </row>
    <row r="48" spans="2:21" x14ac:dyDescent="0.3">
      <c r="J48" s="2" t="s">
        <v>126</v>
      </c>
      <c r="K48" s="12"/>
      <c r="L48" s="12">
        <f>'Feasibility Report'!T94/10000000</f>
        <v>0.1</v>
      </c>
      <c r="M48" s="12">
        <f t="shared" ref="M48:P48" si="39">L48</f>
        <v>0.1</v>
      </c>
      <c r="N48" s="12">
        <f t="shared" si="39"/>
        <v>0.1</v>
      </c>
      <c r="O48" s="12">
        <f t="shared" si="39"/>
        <v>0.1</v>
      </c>
      <c r="P48" s="12">
        <f t="shared" si="39"/>
        <v>0.1</v>
      </c>
      <c r="Q48" s="7">
        <f t="shared" si="21"/>
        <v>0.1</v>
      </c>
      <c r="R48" s="7">
        <f t="shared" si="21"/>
        <v>0.1</v>
      </c>
      <c r="S48" s="7">
        <f t="shared" si="21"/>
        <v>0.1</v>
      </c>
      <c r="T48" s="7">
        <f t="shared" si="21"/>
        <v>0.1</v>
      </c>
      <c r="U48" s="7">
        <f t="shared" si="21"/>
        <v>0.1</v>
      </c>
    </row>
    <row r="49" spans="7:21" x14ac:dyDescent="0.3">
      <c r="J49" s="2" t="s">
        <v>255</v>
      </c>
      <c r="K49" s="12"/>
      <c r="L49" s="12">
        <f>'Feasibility Report'!T95/10000000</f>
        <v>4.5996182100000005E-2</v>
      </c>
      <c r="M49" s="12">
        <f t="shared" ref="M49:P49" si="40">L49</f>
        <v>4.5996182100000005E-2</v>
      </c>
      <c r="N49" s="12">
        <f t="shared" si="40"/>
        <v>4.5996182100000005E-2</v>
      </c>
      <c r="O49" s="12">
        <f t="shared" si="40"/>
        <v>4.5996182100000005E-2</v>
      </c>
      <c r="P49" s="12">
        <f t="shared" si="40"/>
        <v>4.5996182100000005E-2</v>
      </c>
      <c r="Q49" s="7">
        <f t="shared" si="21"/>
        <v>4.5996182100000005E-2</v>
      </c>
      <c r="R49" s="7">
        <f t="shared" si="21"/>
        <v>4.5996182100000005E-2</v>
      </c>
      <c r="S49" s="7">
        <f t="shared" si="21"/>
        <v>4.5996182100000005E-2</v>
      </c>
      <c r="T49" s="7">
        <f t="shared" si="21"/>
        <v>4.5996182100000005E-2</v>
      </c>
      <c r="U49" s="7">
        <f t="shared" si="21"/>
        <v>4.5996182100000005E-2</v>
      </c>
    </row>
    <row r="50" spans="7:21" x14ac:dyDescent="0.3">
      <c r="J50" s="2" t="s">
        <v>176</v>
      </c>
      <c r="K50" s="12"/>
      <c r="L50" s="12">
        <f>'Feasibility Report'!T96/10000000</f>
        <v>0.12</v>
      </c>
      <c r="M50" s="12">
        <f t="shared" ref="M50:P50" si="41">L50</f>
        <v>0.12</v>
      </c>
      <c r="N50" s="12">
        <f t="shared" si="41"/>
        <v>0.12</v>
      </c>
      <c r="O50" s="12">
        <f t="shared" si="41"/>
        <v>0.12</v>
      </c>
      <c r="P50" s="12">
        <f t="shared" si="41"/>
        <v>0.12</v>
      </c>
      <c r="Q50" s="7">
        <f t="shared" si="21"/>
        <v>0.12</v>
      </c>
      <c r="R50" s="7">
        <f t="shared" si="21"/>
        <v>0.12</v>
      </c>
      <c r="S50" s="7">
        <f t="shared" si="21"/>
        <v>0.12</v>
      </c>
      <c r="T50" s="7">
        <f t="shared" si="21"/>
        <v>0.12</v>
      </c>
      <c r="U50" s="7">
        <f t="shared" si="21"/>
        <v>0.12</v>
      </c>
    </row>
    <row r="51" spans="7:21" x14ac:dyDescent="0.3">
      <c r="J51" s="2" t="s">
        <v>127</v>
      </c>
      <c r="K51" s="12"/>
      <c r="L51" s="12">
        <f>'Feasibility Report'!T97/10000000</f>
        <v>0.05</v>
      </c>
      <c r="M51" s="12">
        <f t="shared" ref="M51:P51" si="42">L51</f>
        <v>0.05</v>
      </c>
      <c r="N51" s="12">
        <f t="shared" si="42"/>
        <v>0.05</v>
      </c>
      <c r="O51" s="12">
        <f t="shared" si="42"/>
        <v>0.05</v>
      </c>
      <c r="P51" s="12">
        <f t="shared" si="42"/>
        <v>0.05</v>
      </c>
      <c r="Q51" s="7">
        <f t="shared" si="21"/>
        <v>0.05</v>
      </c>
      <c r="R51" s="7">
        <f t="shared" si="21"/>
        <v>0.05</v>
      </c>
      <c r="S51" s="7">
        <f t="shared" si="21"/>
        <v>0.05</v>
      </c>
      <c r="T51" s="7">
        <f t="shared" si="21"/>
        <v>0.05</v>
      </c>
      <c r="U51" s="7">
        <f t="shared" si="21"/>
        <v>0.05</v>
      </c>
    </row>
    <row r="52" spans="7:21" x14ac:dyDescent="0.3">
      <c r="K52" s="12"/>
      <c r="L52" s="12"/>
      <c r="M52" s="12"/>
      <c r="N52" s="12"/>
      <c r="O52" s="12"/>
      <c r="P52" s="12"/>
      <c r="Q52" s="7">
        <f t="shared" si="21"/>
        <v>0</v>
      </c>
      <c r="R52" s="7">
        <f t="shared" si="21"/>
        <v>0</v>
      </c>
      <c r="S52" s="7">
        <f t="shared" si="21"/>
        <v>0</v>
      </c>
      <c r="T52" s="7">
        <f t="shared" si="21"/>
        <v>0</v>
      </c>
      <c r="U52" s="7">
        <f t="shared" si="21"/>
        <v>0</v>
      </c>
    </row>
    <row r="53" spans="7:21" ht="28.8" x14ac:dyDescent="0.3">
      <c r="J53" s="141" t="s">
        <v>283</v>
      </c>
      <c r="K53" s="12"/>
      <c r="L53" s="12">
        <f>50000*37/10000000</f>
        <v>0.185</v>
      </c>
      <c r="M53" s="12">
        <f>L53</f>
        <v>0.185</v>
      </c>
      <c r="N53" s="12">
        <f t="shared" ref="N53:P54" si="43">M53</f>
        <v>0.185</v>
      </c>
      <c r="O53" s="12">
        <f t="shared" si="43"/>
        <v>0.185</v>
      </c>
      <c r="P53" s="12">
        <f t="shared" si="43"/>
        <v>0.185</v>
      </c>
      <c r="Q53" s="7">
        <f t="shared" si="21"/>
        <v>0.185</v>
      </c>
      <c r="R53" s="7">
        <f t="shared" si="21"/>
        <v>0.185</v>
      </c>
      <c r="S53" s="7">
        <f t="shared" si="21"/>
        <v>0.185</v>
      </c>
      <c r="T53" s="7">
        <f t="shared" si="21"/>
        <v>0.185</v>
      </c>
      <c r="U53" s="7">
        <f t="shared" si="21"/>
        <v>0.185</v>
      </c>
    </row>
    <row r="54" spans="7:21" ht="28.8" x14ac:dyDescent="0.3">
      <c r="J54" s="141" t="s">
        <v>284</v>
      </c>
      <c r="K54" s="12"/>
      <c r="L54" s="12">
        <f>(C8*1.4*122580*6%)/10000000</f>
        <v>1.5093961847999999</v>
      </c>
      <c r="M54" s="12">
        <f>(C8*1.4*122580*6%)/10000000</f>
        <v>1.5093961847999999</v>
      </c>
      <c r="N54" s="12">
        <f t="shared" si="43"/>
        <v>1.5093961847999999</v>
      </c>
      <c r="O54" s="12">
        <f t="shared" si="43"/>
        <v>1.5093961847999999</v>
      </c>
      <c r="P54" s="12">
        <f t="shared" si="43"/>
        <v>1.5093961847999999</v>
      </c>
      <c r="Q54" s="7">
        <f t="shared" si="21"/>
        <v>1.5093961847999999</v>
      </c>
      <c r="R54" s="7">
        <f t="shared" si="21"/>
        <v>1.5093961847999999</v>
      </c>
      <c r="S54" s="7">
        <f t="shared" si="21"/>
        <v>1.5093961847999999</v>
      </c>
      <c r="T54" s="7">
        <f t="shared" si="21"/>
        <v>1.5093961847999999</v>
      </c>
      <c r="U54" s="7">
        <f t="shared" si="21"/>
        <v>1.5093961847999999</v>
      </c>
    </row>
    <row r="55" spans="7:21" x14ac:dyDescent="0.3">
      <c r="J55" t="s">
        <v>285</v>
      </c>
      <c r="K55" s="12"/>
      <c r="L55" s="12">
        <f>10+2</f>
        <v>12</v>
      </c>
      <c r="M55" s="12">
        <f t="shared" ref="M55:P55" si="44">10+2</f>
        <v>12</v>
      </c>
      <c r="N55" s="12">
        <f t="shared" si="44"/>
        <v>12</v>
      </c>
      <c r="O55" s="12">
        <f t="shared" si="44"/>
        <v>12</v>
      </c>
      <c r="P55" s="12">
        <f t="shared" si="44"/>
        <v>12</v>
      </c>
      <c r="Q55" s="7">
        <f>P55</f>
        <v>12</v>
      </c>
      <c r="R55" s="7">
        <f>Q55</f>
        <v>12</v>
      </c>
      <c r="S55" s="7">
        <f>R55</f>
        <v>12</v>
      </c>
      <c r="T55" s="7">
        <f>S55</f>
        <v>12</v>
      </c>
      <c r="U55" s="7">
        <f>T55</f>
        <v>12</v>
      </c>
    </row>
    <row r="56" spans="7:21" ht="28.8" x14ac:dyDescent="0.3">
      <c r="J56" s="141" t="s">
        <v>287</v>
      </c>
      <c r="K56" s="12"/>
      <c r="L56" s="12">
        <f>0.05*36</f>
        <v>1.8</v>
      </c>
      <c r="M56" s="12">
        <f t="shared" ref="M56:P56" si="45">0.05*36</f>
        <v>1.8</v>
      </c>
      <c r="N56" s="12">
        <f t="shared" si="45"/>
        <v>1.8</v>
      </c>
      <c r="O56" s="12">
        <f t="shared" si="45"/>
        <v>1.8</v>
      </c>
      <c r="P56" s="12">
        <f t="shared" si="45"/>
        <v>1.8</v>
      </c>
      <c r="Q56" s="1">
        <f>L56/3</f>
        <v>0.6</v>
      </c>
      <c r="R56" s="1">
        <f>M56/3</f>
        <v>0.6</v>
      </c>
      <c r="S56" s="1">
        <f>N56/3</f>
        <v>0.6</v>
      </c>
      <c r="T56" s="1">
        <f>O56/3</f>
        <v>0.6</v>
      </c>
      <c r="U56" s="1">
        <f>P56/3</f>
        <v>0.6</v>
      </c>
    </row>
    <row r="57" spans="7:21" x14ac:dyDescent="0.3">
      <c r="G57" s="122">
        <f>7/L12</f>
        <v>2.2118954461520495E-2</v>
      </c>
      <c r="J57" t="s">
        <v>286</v>
      </c>
      <c r="K57" s="12"/>
      <c r="L57" s="12">
        <f>L12*3%</f>
        <v>9.4941196413839997</v>
      </c>
      <c r="M57" s="12">
        <f t="shared" ref="M57:P57" si="46">M12*3%</f>
        <v>8.859870919368003</v>
      </c>
      <c r="N57" s="12">
        <f t="shared" si="46"/>
        <v>8.7013087388640002</v>
      </c>
      <c r="O57" s="12">
        <f t="shared" si="46"/>
        <v>8.5427465583600011</v>
      </c>
      <c r="P57" s="12">
        <f t="shared" si="46"/>
        <v>8.3841843778560019</v>
      </c>
      <c r="Q57" s="1">
        <f>L57/3</f>
        <v>3.164706547128</v>
      </c>
      <c r="R57" s="1">
        <f>M57/3</f>
        <v>2.953290306456001</v>
      </c>
      <c r="S57" s="1">
        <f>N57/3</f>
        <v>2.9004362462880002</v>
      </c>
      <c r="T57" s="1">
        <f>O57/3</f>
        <v>2.8475821861200004</v>
      </c>
      <c r="U57" s="1">
        <f>P57/3</f>
        <v>2.7947281259520005</v>
      </c>
    </row>
    <row r="58" spans="7:21" ht="28.8" x14ac:dyDescent="0.3">
      <c r="J58" s="176" t="s">
        <v>296</v>
      </c>
      <c r="K58" s="178"/>
      <c r="L58" s="178">
        <f>C2*238440*5%/10000000</f>
        <v>2.8294402722599998</v>
      </c>
      <c r="M58" s="178">
        <f>D2*238440*5%/10000000</f>
        <v>3.2197078960199996</v>
      </c>
      <c r="N58" s="178">
        <f>E2*238440*5%/10000000</f>
        <v>3.31727480196</v>
      </c>
      <c r="O58" s="178">
        <f>F2*238440*5%/10000000</f>
        <v>3.4148417079000004</v>
      </c>
      <c r="P58" s="178">
        <f>G2*238440*5%/10000000</f>
        <v>3.5124086138399995</v>
      </c>
    </row>
    <row r="59" spans="7:21" x14ac:dyDescent="0.3">
      <c r="J59" s="26" t="s">
        <v>289</v>
      </c>
      <c r="K59" s="12"/>
      <c r="L59" s="12"/>
      <c r="M59" s="12"/>
      <c r="N59" s="12"/>
      <c r="O59" s="12"/>
      <c r="P59" s="12"/>
    </row>
    <row r="60" spans="7:21" x14ac:dyDescent="0.3">
      <c r="J60" t="s">
        <v>290</v>
      </c>
      <c r="K60" s="12"/>
      <c r="L60" s="12">
        <f>F41</f>
        <v>11.782176167913601</v>
      </c>
      <c r="M60" s="12">
        <f>L60</f>
        <v>11.782176167913601</v>
      </c>
      <c r="N60" s="12">
        <f t="shared" ref="N60:P60" si="47">M60</f>
        <v>11.782176167913601</v>
      </c>
      <c r="O60" s="12">
        <f t="shared" si="47"/>
        <v>11.782176167913601</v>
      </c>
      <c r="P60" s="12">
        <f t="shared" si="47"/>
        <v>11.782176167913601</v>
      </c>
      <c r="Q60" s="1">
        <f>L60/3</f>
        <v>3.9273920559712003</v>
      </c>
      <c r="R60" s="1">
        <f>M60/3</f>
        <v>3.9273920559712003</v>
      </c>
      <c r="S60" s="1">
        <f>N60/3</f>
        <v>3.9273920559712003</v>
      </c>
      <c r="T60" s="1">
        <f>O60/3</f>
        <v>3.9273920559712003</v>
      </c>
      <c r="U60" s="1">
        <f>P60/3</f>
        <v>3.9273920559712003</v>
      </c>
    </row>
    <row r="61" spans="7:21" x14ac:dyDescent="0.3">
      <c r="J61" t="s">
        <v>291</v>
      </c>
      <c r="K61" s="12"/>
      <c r="L61" s="12">
        <f>D31*1500/10000000</f>
        <v>2.6427030083999994</v>
      </c>
      <c r="M61" s="12">
        <f>L61</f>
        <v>2.6427030083999994</v>
      </c>
      <c r="N61" s="12">
        <f t="shared" ref="N61:P61" si="48">M61</f>
        <v>2.6427030083999994</v>
      </c>
      <c r="O61" s="12">
        <f t="shared" si="48"/>
        <v>2.6427030083999994</v>
      </c>
      <c r="P61" s="12">
        <f t="shared" si="48"/>
        <v>2.6427030083999994</v>
      </c>
      <c r="Q61" s="1">
        <f>L61/3</f>
        <v>0.88090100279999983</v>
      </c>
      <c r="R61" s="1">
        <f>M61/3</f>
        <v>0.88090100279999983</v>
      </c>
      <c r="S61" s="1">
        <f>N61/3</f>
        <v>0.88090100279999983</v>
      </c>
      <c r="T61" s="1">
        <f>O61/3</f>
        <v>0.88090100279999983</v>
      </c>
      <c r="U61" s="1">
        <f>P61/3</f>
        <v>0.88090100279999983</v>
      </c>
    </row>
    <row r="62" spans="7:21" x14ac:dyDescent="0.3">
      <c r="J62" t="s">
        <v>297</v>
      </c>
      <c r="L62" s="1">
        <f>Q63*12%</f>
        <v>14.653437421451329</v>
      </c>
      <c r="M62" s="1">
        <f t="shared" ref="M62:P62" si="49">R63*12%</f>
        <v>14.628067472570688</v>
      </c>
      <c r="N62" s="1">
        <f t="shared" si="49"/>
        <v>14.621724985350527</v>
      </c>
      <c r="O62" s="1">
        <f t="shared" si="49"/>
        <v>14.615382498130369</v>
      </c>
      <c r="P62" s="1">
        <f t="shared" si="49"/>
        <v>14.609040010910208</v>
      </c>
    </row>
    <row r="63" spans="7:21" x14ac:dyDescent="0.3">
      <c r="J63" s="4" t="s">
        <v>195</v>
      </c>
      <c r="K63" s="4"/>
      <c r="L63" s="179">
        <f>SUM(L16:L62)</f>
        <v>206.31738608167774</v>
      </c>
      <c r="M63" s="179">
        <f t="shared" ref="M63:P63" si="50">SUM(M16:M62)</f>
        <v>206.0480350345411</v>
      </c>
      <c r="N63" s="179">
        <f t="shared" si="50"/>
        <v>205.98069727275697</v>
      </c>
      <c r="O63" s="179">
        <f t="shared" si="50"/>
        <v>205.91335951097278</v>
      </c>
      <c r="P63" s="179">
        <f t="shared" si="50"/>
        <v>205.84602174918862</v>
      </c>
      <c r="Q63" s="25">
        <f>SUM(Q16:Q61)</f>
        <v>122.11197851209441</v>
      </c>
      <c r="R63" s="25">
        <f>SUM(R16:R61)</f>
        <v>121.9005622714224</v>
      </c>
      <c r="S63" s="25">
        <f>SUM(S16:S61)</f>
        <v>121.8477082112544</v>
      </c>
      <c r="T63" s="25">
        <f>SUM(T16:T61)</f>
        <v>121.79485415108641</v>
      </c>
      <c r="U63" s="25">
        <f>SUM(U16:U61)</f>
        <v>121.74200009091841</v>
      </c>
    </row>
    <row r="65" spans="10:17" x14ac:dyDescent="0.3">
      <c r="J65" s="4" t="s">
        <v>298</v>
      </c>
      <c r="K65" s="4"/>
      <c r="L65" s="25">
        <f>L12-L63</f>
        <v>110.15326863112227</v>
      </c>
      <c r="M65" s="25">
        <f t="shared" ref="M65:P65" si="51">M12-M63</f>
        <v>89.280995611058984</v>
      </c>
      <c r="N65" s="25">
        <f t="shared" si="51"/>
        <v>84.062927356043076</v>
      </c>
      <c r="O65" s="25">
        <f t="shared" si="51"/>
        <v>78.844859101027282</v>
      </c>
      <c r="P65" s="25">
        <f t="shared" si="51"/>
        <v>73.62679084601146</v>
      </c>
      <c r="Q65" s="25">
        <f>55000*1300/10000000</f>
        <v>7.15</v>
      </c>
    </row>
    <row r="66" spans="10:17" x14ac:dyDescent="0.3">
      <c r="J66" t="s">
        <v>299</v>
      </c>
      <c r="L66" s="1">
        <f>L65*26%</f>
        <v>28.639849844091792</v>
      </c>
      <c r="M66" s="1">
        <f t="shared" ref="M66:P66" si="52">M65*26%</f>
        <v>23.213058858875335</v>
      </c>
      <c r="N66" s="1">
        <f t="shared" si="52"/>
        <v>21.8563611125712</v>
      </c>
      <c r="O66" s="1">
        <f t="shared" si="52"/>
        <v>20.499663366267093</v>
      </c>
      <c r="P66" s="1">
        <f t="shared" si="52"/>
        <v>19.142965619962979</v>
      </c>
      <c r="Q66" s="1">
        <f>Q65*1.13</f>
        <v>8.0794999999999995</v>
      </c>
    </row>
    <row r="67" spans="10:17" x14ac:dyDescent="0.3">
      <c r="J67" s="4" t="s">
        <v>300</v>
      </c>
      <c r="K67" s="4"/>
      <c r="L67" s="25">
        <f>L65-L66</f>
        <v>81.513418787030474</v>
      </c>
      <c r="M67" s="25">
        <f t="shared" ref="M67:P67" si="53">M65-M66</f>
        <v>66.067936752183641</v>
      </c>
      <c r="N67" s="25">
        <f t="shared" si="53"/>
        <v>62.206566243471876</v>
      </c>
      <c r="O67" s="25">
        <f t="shared" si="53"/>
        <v>58.345195734760189</v>
      </c>
      <c r="P67" s="25">
        <f t="shared" si="53"/>
        <v>54.483825226048481</v>
      </c>
    </row>
    <row r="68" spans="10:17" x14ac:dyDescent="0.3">
      <c r="O68" s="1">
        <f>M67-O67</f>
        <v>7.7227410174234521</v>
      </c>
    </row>
    <row r="69" spans="10:17" x14ac:dyDescent="0.3">
      <c r="J69" s="8" t="s">
        <v>301</v>
      </c>
      <c r="L69" s="2"/>
      <c r="M69" s="2"/>
      <c r="N69" s="2"/>
      <c r="O69" s="2"/>
      <c r="P69" s="2"/>
    </row>
    <row r="70" spans="10:17" x14ac:dyDescent="0.3">
      <c r="J70" s="2" t="s">
        <v>302</v>
      </c>
      <c r="L70" s="9">
        <f>Q63</f>
        <v>122.11197851209441</v>
      </c>
      <c r="M70" s="9">
        <f t="shared" ref="M70:P70" si="54">R63</f>
        <v>121.9005622714224</v>
      </c>
      <c r="N70" s="9">
        <f t="shared" si="54"/>
        <v>121.8477082112544</v>
      </c>
      <c r="O70" s="9">
        <f t="shared" si="54"/>
        <v>121.79485415108641</v>
      </c>
      <c r="P70" s="9">
        <f t="shared" si="54"/>
        <v>121.74200009091841</v>
      </c>
    </row>
    <row r="71" spans="10:17" x14ac:dyDescent="0.3">
      <c r="J71" s="2" t="s">
        <v>303</v>
      </c>
      <c r="L71" s="180">
        <f>L65/L70</f>
        <v>0.9020676756966336</v>
      </c>
      <c r="M71" s="180">
        <f t="shared" ref="M71:P71" si="55">M65/M70</f>
        <v>0.73240839867716878</v>
      </c>
      <c r="N71" s="180">
        <f t="shared" si="55"/>
        <v>0.6899015877286615</v>
      </c>
      <c r="O71" s="180">
        <f t="shared" si="55"/>
        <v>0.64735788429304497</v>
      </c>
      <c r="P71" s="180">
        <f t="shared" si="55"/>
        <v>0.60477724031990665</v>
      </c>
    </row>
    <row r="72" spans="10:17" x14ac:dyDescent="0.3">
      <c r="J72" s="2" t="s">
        <v>303</v>
      </c>
      <c r="L72" s="180">
        <f>L67/L70</f>
        <v>0.66753008001550884</v>
      </c>
      <c r="M72" s="180">
        <f t="shared" ref="M72:P72" si="56">M67/M70</f>
        <v>0.54198221502110489</v>
      </c>
      <c r="N72" s="180">
        <f t="shared" si="56"/>
        <v>0.51052717491920951</v>
      </c>
      <c r="O72" s="180">
        <f t="shared" si="56"/>
        <v>0.47904483437685325</v>
      </c>
      <c r="P72" s="180">
        <f t="shared" si="56"/>
        <v>0.44753515783673092</v>
      </c>
    </row>
    <row r="74" spans="10:17" x14ac:dyDescent="0.3">
      <c r="J74" s="26" t="s">
        <v>304</v>
      </c>
      <c r="L74" s="26" t="s">
        <v>306</v>
      </c>
      <c r="M74" s="186" t="s">
        <v>307</v>
      </c>
      <c r="N74" s="26" t="s">
        <v>308</v>
      </c>
      <c r="O74" s="186" t="s">
        <v>309</v>
      </c>
      <c r="P74" s="26" t="s">
        <v>310</v>
      </c>
    </row>
    <row r="75" spans="10:17" x14ac:dyDescent="0.3">
      <c r="J75" s="2" t="s">
        <v>303</v>
      </c>
      <c r="L75" s="180">
        <f>L71/3</f>
        <v>0.3006892252322112</v>
      </c>
      <c r="M75" s="180">
        <f t="shared" ref="M75:P76" si="57">M71/3</f>
        <v>0.24413613289238958</v>
      </c>
      <c r="N75" s="180">
        <f t="shared" si="57"/>
        <v>0.22996719590955383</v>
      </c>
      <c r="O75" s="180">
        <f t="shared" si="57"/>
        <v>0.215785961431015</v>
      </c>
      <c r="P75" s="180">
        <f t="shared" si="57"/>
        <v>0.20159241343996889</v>
      </c>
    </row>
    <row r="76" spans="10:17" x14ac:dyDescent="0.3">
      <c r="J76" s="5" t="s">
        <v>305</v>
      </c>
      <c r="K76" s="4"/>
      <c r="L76" s="181">
        <f>L72/3</f>
        <v>0.22251002667183628</v>
      </c>
      <c r="M76" s="181">
        <f t="shared" si="57"/>
        <v>0.1806607383403683</v>
      </c>
      <c r="N76" s="181">
        <f t="shared" si="57"/>
        <v>0.17017572497306985</v>
      </c>
      <c r="O76" s="181">
        <f t="shared" si="57"/>
        <v>0.15968161145895107</v>
      </c>
      <c r="P76" s="181">
        <f t="shared" si="57"/>
        <v>0.14917838594557697</v>
      </c>
    </row>
    <row r="79" spans="10:17" x14ac:dyDescent="0.3">
      <c r="J79" s="157" t="s">
        <v>288</v>
      </c>
      <c r="K79" s="150"/>
      <c r="L79" s="175">
        <f>C3*55000*10.764*5%/10000000</f>
        <v>2.1802299819299997</v>
      </c>
      <c r="M79" s="175">
        <f>D3*55000*10.764*5%/10000000</f>
        <v>3.1492210850100006</v>
      </c>
      <c r="N79" s="175">
        <f>E3*55000*10.764*5%/10000000</f>
        <v>3.3914688607799999</v>
      </c>
      <c r="O79" s="175">
        <f>F3*55000*10.764*5%/10000000</f>
        <v>3.6337166365499995</v>
      </c>
      <c r="P79" s="175">
        <f>G3*55000*10.764*5%/10000000</f>
        <v>3.8759644123200006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8576"/>
  <sheetViews>
    <sheetView topLeftCell="I100" workbookViewId="0">
      <selection activeCell="M18" sqref="M18"/>
    </sheetView>
    <sheetView tabSelected="1" topLeftCell="I89" workbookViewId="1">
      <selection activeCell="T107" activeCellId="2" sqref="T103 T104 T107"/>
    </sheetView>
  </sheetViews>
  <sheetFormatPr defaultRowHeight="14.4" x14ac:dyDescent="0.3"/>
  <cols>
    <col min="1" max="1" width="0" hidden="1" customWidth="1"/>
    <col min="2" max="2" width="2.88671875" hidden="1" customWidth="1"/>
    <col min="3" max="3" width="78.6640625" hidden="1" customWidth="1"/>
    <col min="4" max="4" width="14.33203125" hidden="1" customWidth="1"/>
    <col min="5" max="5" width="13.33203125" hidden="1" customWidth="1"/>
    <col min="6" max="7" width="12.109375" hidden="1" customWidth="1"/>
    <col min="8" max="8" width="0" hidden="1" customWidth="1"/>
    <col min="9" max="9" width="14.5546875" customWidth="1"/>
    <col min="10" max="10" width="3.5546875" customWidth="1"/>
    <col min="11" max="11" width="3" style="4" bestFit="1" customWidth="1"/>
    <col min="12" max="12" width="3" bestFit="1" customWidth="1"/>
    <col min="13" max="13" width="52.5546875" bestFit="1" customWidth="1"/>
    <col min="14" max="14" width="14.33203125" style="12" customWidth="1"/>
    <col min="15" max="15" width="13.33203125" style="12" customWidth="1"/>
    <col min="16" max="16" width="13.33203125" customWidth="1"/>
    <col min="17" max="17" width="13" style="12" customWidth="1"/>
    <col min="18" max="18" width="14" style="73" customWidth="1"/>
    <col min="19" max="19" width="17" customWidth="1"/>
    <col min="20" max="20" width="19.33203125" style="73" bestFit="1" customWidth="1"/>
    <col min="21" max="21" width="19.33203125" customWidth="1"/>
    <col min="22" max="22" width="17.44140625" bestFit="1" customWidth="1"/>
    <col min="23" max="23" width="10.6640625" bestFit="1" customWidth="1"/>
  </cols>
  <sheetData>
    <row r="1" spans="2:23" ht="18" x14ac:dyDescent="0.35">
      <c r="D1" s="1"/>
      <c r="M1" s="101" t="s">
        <v>211</v>
      </c>
    </row>
    <row r="2" spans="2:23" x14ac:dyDescent="0.3">
      <c r="C2" t="s">
        <v>0</v>
      </c>
      <c r="D2" s="1"/>
      <c r="E2">
        <v>10.7639</v>
      </c>
      <c r="O2" s="35"/>
      <c r="P2" s="2" t="s">
        <v>91</v>
      </c>
    </row>
    <row r="3" spans="2:23" ht="43.8" thickBot="1" x14ac:dyDescent="0.35">
      <c r="D3" s="1"/>
      <c r="O3" s="126" t="s">
        <v>234</v>
      </c>
      <c r="P3" s="4"/>
      <c r="Q3" s="126" t="s">
        <v>235</v>
      </c>
      <c r="R3" s="127" t="s">
        <v>236</v>
      </c>
      <c r="S3" s="128" t="s">
        <v>237</v>
      </c>
      <c r="T3" s="127" t="s">
        <v>238</v>
      </c>
    </row>
    <row r="4" spans="2:23" ht="15" thickBot="1" x14ac:dyDescent="0.35">
      <c r="B4" s="2"/>
      <c r="C4" s="2"/>
      <c r="D4" s="3" t="s">
        <v>1</v>
      </c>
      <c r="E4" s="3" t="s">
        <v>2</v>
      </c>
      <c r="F4" s="4"/>
      <c r="G4" s="4"/>
      <c r="K4" s="129"/>
      <c r="L4" s="130"/>
      <c r="M4" s="131" t="s">
        <v>109</v>
      </c>
      <c r="N4" s="132" t="s">
        <v>1</v>
      </c>
      <c r="O4" s="132" t="s">
        <v>1</v>
      </c>
      <c r="P4" s="133" t="s">
        <v>2</v>
      </c>
      <c r="Q4" s="132" t="s">
        <v>1</v>
      </c>
      <c r="R4" s="132" t="s">
        <v>1</v>
      </c>
      <c r="S4" s="132" t="s">
        <v>1</v>
      </c>
      <c r="T4" s="134" t="s">
        <v>1</v>
      </c>
      <c r="W4" s="12"/>
    </row>
    <row r="5" spans="2:23" x14ac:dyDescent="0.3">
      <c r="B5" s="2" t="s">
        <v>3</v>
      </c>
      <c r="C5" s="5" t="s">
        <v>4</v>
      </c>
      <c r="D5" s="3">
        <v>1538.9</v>
      </c>
      <c r="E5" s="6">
        <f>D5*10.7639-9.76</f>
        <v>16554.805710000001</v>
      </c>
      <c r="F5" s="4"/>
      <c r="G5" s="7" t="s">
        <v>63</v>
      </c>
      <c r="K5" s="49" t="s">
        <v>74</v>
      </c>
      <c r="L5" s="39"/>
      <c r="M5" s="39" t="s">
        <v>72</v>
      </c>
      <c r="N5" s="56"/>
      <c r="O5" s="120">
        <v>1538.9</v>
      </c>
      <c r="P5" s="50">
        <f>O5*10.7639-9.76</f>
        <v>16554.805710000001</v>
      </c>
      <c r="Q5" s="120">
        <v>1538.9</v>
      </c>
      <c r="R5" s="120">
        <f t="shared" ref="R5:T6" si="0">Q5</f>
        <v>1538.9</v>
      </c>
      <c r="S5" s="120">
        <f t="shared" si="0"/>
        <v>1538.9</v>
      </c>
      <c r="T5" s="120">
        <f t="shared" si="0"/>
        <v>1538.9</v>
      </c>
      <c r="W5" s="12"/>
    </row>
    <row r="6" spans="2:23" x14ac:dyDescent="0.3">
      <c r="B6" s="2"/>
      <c r="C6" s="5" t="s">
        <v>0</v>
      </c>
      <c r="D6" s="3">
        <f>D5</f>
        <v>1538.9</v>
      </c>
      <c r="E6" s="3">
        <f>E5</f>
        <v>16554.805710000001</v>
      </c>
      <c r="F6" s="4"/>
      <c r="K6" s="43"/>
      <c r="L6" s="2"/>
      <c r="M6" s="5" t="s">
        <v>73</v>
      </c>
      <c r="N6" s="11"/>
      <c r="O6" s="11">
        <f>O5</f>
        <v>1538.9</v>
      </c>
      <c r="P6" s="45">
        <f>P5</f>
        <v>16554.805710000001</v>
      </c>
      <c r="Q6" s="11">
        <f>Q5</f>
        <v>1538.9</v>
      </c>
      <c r="R6" s="11">
        <f t="shared" si="0"/>
        <v>1538.9</v>
      </c>
      <c r="S6" s="11">
        <f t="shared" si="0"/>
        <v>1538.9</v>
      </c>
      <c r="T6" s="11">
        <f t="shared" si="0"/>
        <v>1538.9</v>
      </c>
      <c r="W6" s="12"/>
    </row>
    <row r="7" spans="2:23" x14ac:dyDescent="0.3">
      <c r="B7" s="2"/>
      <c r="C7" s="5"/>
      <c r="D7" s="3"/>
      <c r="E7" s="5"/>
      <c r="F7" s="4"/>
      <c r="G7" s="7"/>
      <c r="K7" s="43"/>
      <c r="L7" s="2"/>
      <c r="M7" s="5"/>
      <c r="N7" s="11"/>
      <c r="O7" s="11"/>
      <c r="P7" s="46"/>
      <c r="Q7" s="11"/>
      <c r="R7" s="11"/>
      <c r="S7" s="11"/>
      <c r="T7" s="11"/>
      <c r="W7" s="12"/>
    </row>
    <row r="8" spans="2:23" x14ac:dyDescent="0.3">
      <c r="B8" s="2" t="s">
        <v>5</v>
      </c>
      <c r="C8" s="8" t="s">
        <v>6</v>
      </c>
      <c r="D8" s="9"/>
      <c r="E8" s="5"/>
      <c r="F8" s="4"/>
      <c r="G8" s="7"/>
      <c r="K8" s="43"/>
      <c r="L8" s="2"/>
      <c r="M8" s="5" t="s">
        <v>83</v>
      </c>
      <c r="N8" s="121">
        <v>1635</v>
      </c>
      <c r="O8" s="11"/>
      <c r="P8" s="46"/>
      <c r="Q8" s="11"/>
      <c r="R8" s="11"/>
      <c r="S8" s="11"/>
      <c r="T8" s="11"/>
      <c r="W8" s="12"/>
    </row>
    <row r="9" spans="2:23" x14ac:dyDescent="0.3">
      <c r="B9" s="2"/>
      <c r="C9" s="2" t="s">
        <v>7</v>
      </c>
      <c r="D9" s="10">
        <v>0</v>
      </c>
      <c r="E9" s="5"/>
      <c r="F9" s="4"/>
      <c r="G9" s="7"/>
      <c r="K9" s="43"/>
      <c r="L9" s="2"/>
      <c r="M9" s="2" t="s">
        <v>65</v>
      </c>
      <c r="N9" s="35">
        <v>108.14</v>
      </c>
      <c r="O9" s="11"/>
      <c r="P9" s="46"/>
      <c r="Q9" s="11"/>
      <c r="R9" s="11"/>
      <c r="S9" s="11"/>
      <c r="T9" s="11"/>
      <c r="W9" s="12"/>
    </row>
    <row r="10" spans="2:23" x14ac:dyDescent="0.3">
      <c r="B10" s="2"/>
      <c r="C10" s="2" t="s">
        <v>8</v>
      </c>
      <c r="D10" s="11">
        <f>SUM(D9:D9)</f>
        <v>0</v>
      </c>
      <c r="E10" s="5"/>
      <c r="F10" s="4"/>
      <c r="G10" s="7"/>
      <c r="K10" s="43"/>
      <c r="L10" s="2"/>
      <c r="M10" s="2" t="s">
        <v>81</v>
      </c>
      <c r="N10" s="10">
        <f>N8-N9</f>
        <v>1526.86</v>
      </c>
      <c r="O10" s="11"/>
      <c r="P10" s="46"/>
      <c r="Q10" s="11"/>
      <c r="R10" s="11"/>
      <c r="S10" s="11"/>
      <c r="T10" s="11"/>
      <c r="W10" s="12"/>
    </row>
    <row r="11" spans="2:23" x14ac:dyDescent="0.3">
      <c r="B11" s="2"/>
      <c r="C11" s="2" t="s">
        <v>9</v>
      </c>
      <c r="D11" s="3">
        <v>0</v>
      </c>
      <c r="E11" s="5"/>
      <c r="F11" s="4"/>
      <c r="G11" s="7"/>
      <c r="K11" s="43"/>
      <c r="L11" s="2"/>
      <c r="M11" s="5"/>
      <c r="N11" s="11"/>
      <c r="O11" s="11"/>
      <c r="P11" s="46"/>
      <c r="Q11" s="11"/>
      <c r="R11" s="11"/>
      <c r="S11" s="11"/>
      <c r="T11" s="11"/>
      <c r="W11" s="12"/>
    </row>
    <row r="12" spans="2:23" x14ac:dyDescent="0.3">
      <c r="B12" s="2"/>
      <c r="C12" s="5" t="s">
        <v>10</v>
      </c>
      <c r="D12" s="3">
        <v>0</v>
      </c>
      <c r="E12" s="5"/>
      <c r="F12" s="4"/>
      <c r="G12" s="7"/>
      <c r="K12" s="43"/>
      <c r="L12" s="2"/>
      <c r="M12" s="2" t="s">
        <v>64</v>
      </c>
      <c r="N12" s="35">
        <v>73</v>
      </c>
      <c r="O12" s="10"/>
      <c r="P12" s="46"/>
      <c r="Q12" s="10"/>
      <c r="R12" s="10"/>
      <c r="S12" s="10"/>
      <c r="T12" s="10"/>
      <c r="W12" s="12"/>
    </row>
    <row r="13" spans="2:23" x14ac:dyDescent="0.3">
      <c r="B13" s="2"/>
      <c r="C13" s="8"/>
      <c r="D13" s="9"/>
      <c r="E13" s="2"/>
      <c r="K13" s="43"/>
      <c r="L13" s="2"/>
      <c r="M13" s="2" t="s">
        <v>82</v>
      </c>
      <c r="N13" s="10">
        <f>O6-N12</f>
        <v>1465.9</v>
      </c>
      <c r="O13" s="10"/>
      <c r="P13" s="46"/>
      <c r="Q13" s="10"/>
      <c r="R13" s="10"/>
      <c r="S13" s="10"/>
      <c r="T13" s="10"/>
      <c r="W13" s="12"/>
    </row>
    <row r="14" spans="2:23" x14ac:dyDescent="0.3">
      <c r="B14" s="2" t="s">
        <v>11</v>
      </c>
      <c r="C14" s="5" t="s">
        <v>12</v>
      </c>
      <c r="D14" s="11">
        <f>D6-D12</f>
        <v>1538.9</v>
      </c>
      <c r="E14" s="11">
        <f>E6-G12</f>
        <v>16554.805710000001</v>
      </c>
      <c r="F14" s="12"/>
      <c r="K14" s="43"/>
      <c r="L14" s="2"/>
      <c r="M14" s="2"/>
      <c r="N14" s="10"/>
      <c r="O14" s="10"/>
      <c r="P14" s="46"/>
      <c r="Q14" s="10"/>
      <c r="R14" s="10"/>
      <c r="S14" s="10"/>
      <c r="T14" s="10"/>
      <c r="W14" s="12"/>
    </row>
    <row r="15" spans="2:23" x14ac:dyDescent="0.3">
      <c r="B15" s="2"/>
      <c r="C15" s="2" t="s">
        <v>13</v>
      </c>
      <c r="D15" s="10">
        <v>0</v>
      </c>
      <c r="E15" s="13"/>
      <c r="F15" s="12"/>
      <c r="K15" s="43"/>
      <c r="L15" s="2"/>
      <c r="M15" s="2" t="s">
        <v>66</v>
      </c>
      <c r="N15" s="121">
        <v>1634.33</v>
      </c>
      <c r="O15" s="10"/>
      <c r="P15" s="46"/>
      <c r="Q15" s="10"/>
      <c r="R15" s="10"/>
      <c r="S15" s="10"/>
      <c r="T15" s="10"/>
      <c r="W15" s="12" t="s">
        <v>212</v>
      </c>
    </row>
    <row r="16" spans="2:23" x14ac:dyDescent="0.3">
      <c r="B16" s="2"/>
      <c r="C16" s="5" t="s">
        <v>14</v>
      </c>
      <c r="D16" s="11">
        <f>D14-D15</f>
        <v>1538.9</v>
      </c>
      <c r="E16" s="11">
        <f>E14-E15</f>
        <v>16554.805710000001</v>
      </c>
      <c r="F16" s="12"/>
      <c r="K16" s="43"/>
      <c r="L16" s="2"/>
      <c r="M16" s="2"/>
      <c r="N16" s="10"/>
      <c r="O16" s="10"/>
      <c r="P16" s="46"/>
      <c r="Q16" s="10"/>
      <c r="R16" s="10"/>
      <c r="S16" s="10"/>
      <c r="T16" s="10"/>
      <c r="W16" s="12"/>
    </row>
    <row r="17" spans="1:24" x14ac:dyDescent="0.3">
      <c r="B17" s="2"/>
      <c r="C17" s="2" t="s">
        <v>15</v>
      </c>
      <c r="D17" s="11">
        <v>0</v>
      </c>
      <c r="E17" s="13"/>
      <c r="F17" s="14"/>
      <c r="K17" s="43" t="s">
        <v>75</v>
      </c>
      <c r="L17" s="5"/>
      <c r="M17" s="2" t="s">
        <v>67</v>
      </c>
      <c r="N17" s="10"/>
      <c r="O17" s="35">
        <v>129.32900000000001</v>
      </c>
      <c r="P17" s="44">
        <f>O17*10.7639+0.02</f>
        <v>1392.1044231000001</v>
      </c>
      <c r="Q17" s="35">
        <v>129.32900000000001</v>
      </c>
      <c r="R17" s="35">
        <f>Q17</f>
        <v>129.32900000000001</v>
      </c>
      <c r="S17" s="35">
        <f>R17</f>
        <v>129.32900000000001</v>
      </c>
      <c r="T17" s="35">
        <f>S17</f>
        <v>129.32900000000001</v>
      </c>
      <c r="W17" s="12" t="s">
        <v>68</v>
      </c>
    </row>
    <row r="18" spans="1:24" x14ac:dyDescent="0.3">
      <c r="B18" s="2" t="s">
        <v>16</v>
      </c>
      <c r="C18" s="5" t="s">
        <v>17</v>
      </c>
      <c r="D18" s="11">
        <f>D5-D17</f>
        <v>1538.9</v>
      </c>
      <c r="E18" s="11">
        <f>E5-E17</f>
        <v>16554.805710000001</v>
      </c>
      <c r="F18" s="14"/>
      <c r="K18" s="43"/>
      <c r="L18" s="2"/>
      <c r="M18" s="2" t="s">
        <v>224</v>
      </c>
      <c r="N18" s="10"/>
      <c r="O18" s="35">
        <v>1498.33</v>
      </c>
      <c r="P18" s="44">
        <f>O18*10.7639+0.13</f>
        <v>16128.004286999998</v>
      </c>
      <c r="Q18" s="35">
        <v>1498.33</v>
      </c>
      <c r="R18" s="35">
        <f t="shared" ref="R18:S19" si="1">Q18</f>
        <v>1498.33</v>
      </c>
      <c r="S18" s="35">
        <f t="shared" si="1"/>
        <v>1498.33</v>
      </c>
      <c r="T18" s="35">
        <f t="shared" ref="T18" si="2">S18</f>
        <v>1498.33</v>
      </c>
      <c r="W18" s="12"/>
    </row>
    <row r="19" spans="1:24" x14ac:dyDescent="0.3">
      <c r="B19" s="2"/>
      <c r="C19" s="5"/>
      <c r="D19" s="11"/>
      <c r="E19" s="11"/>
      <c r="F19" s="14"/>
      <c r="G19" s="15"/>
      <c r="K19" s="43"/>
      <c r="L19" s="2"/>
      <c r="M19" s="2" t="s">
        <v>225</v>
      </c>
      <c r="N19" s="10"/>
      <c r="O19" s="35">
        <v>138.42400000000001</v>
      </c>
      <c r="P19" s="44">
        <f>O19*10.7639+0.02</f>
        <v>1490.0020936000001</v>
      </c>
      <c r="Q19" s="35">
        <v>138.42400000000001</v>
      </c>
      <c r="R19" s="35">
        <f t="shared" si="1"/>
        <v>138.42400000000001</v>
      </c>
      <c r="S19" s="35">
        <f t="shared" si="1"/>
        <v>138.42400000000001</v>
      </c>
      <c r="T19" s="35">
        <f t="shared" ref="T19" si="3">S19</f>
        <v>138.42400000000001</v>
      </c>
      <c r="W19" s="12"/>
    </row>
    <row r="20" spans="1:24" x14ac:dyDescent="0.3">
      <c r="B20" s="2" t="s">
        <v>18</v>
      </c>
      <c r="C20" s="8" t="s">
        <v>19</v>
      </c>
      <c r="D20" s="11"/>
      <c r="E20" s="11"/>
      <c r="F20" s="14"/>
      <c r="G20" s="15"/>
      <c r="K20" s="43"/>
      <c r="L20" s="5"/>
      <c r="M20" s="5" t="s">
        <v>226</v>
      </c>
      <c r="N20" s="11"/>
      <c r="O20" s="11">
        <f>O18+O19</f>
        <v>1636.7539999999999</v>
      </c>
      <c r="P20" s="69">
        <f>O20*10.7639</f>
        <v>17617.856380599998</v>
      </c>
      <c r="Q20" s="11">
        <f>Q18+Q19</f>
        <v>1636.7539999999999</v>
      </c>
      <c r="R20" s="11">
        <f>Q20</f>
        <v>1636.7539999999999</v>
      </c>
      <c r="S20" s="11">
        <f>R20</f>
        <v>1636.7539999999999</v>
      </c>
      <c r="T20" s="11">
        <f>S20</f>
        <v>1636.7539999999999</v>
      </c>
      <c r="W20" s="12"/>
    </row>
    <row r="21" spans="1:24" x14ac:dyDescent="0.3">
      <c r="B21" s="2" t="s">
        <v>20</v>
      </c>
      <c r="C21" s="2" t="s">
        <v>21</v>
      </c>
      <c r="D21" s="13">
        <f>D18*1.1</f>
        <v>1692.7900000000002</v>
      </c>
      <c r="E21" s="6">
        <f>D21*10.7639-10.74</f>
        <v>18210.282281</v>
      </c>
      <c r="F21" s="4"/>
      <c r="G21" s="14" t="s">
        <v>22</v>
      </c>
      <c r="K21" s="123"/>
      <c r="L21" s="19"/>
      <c r="M21" s="19" t="s">
        <v>71</v>
      </c>
      <c r="N21" s="20"/>
      <c r="O21" s="20">
        <f>+O20*1.2-0.002236</f>
        <v>1964.1025639999998</v>
      </c>
      <c r="P21" s="124">
        <f>O21*10.7639</f>
        <v>21141.403588639598</v>
      </c>
      <c r="Q21" s="20">
        <f>+Q20*1.2-0.002236</f>
        <v>1964.1025639999998</v>
      </c>
      <c r="R21" s="20">
        <f>R20*1.2</f>
        <v>1964.1047999999998</v>
      </c>
      <c r="S21" s="20">
        <f>S20*1.2</f>
        <v>1964.1047999999998</v>
      </c>
      <c r="T21" s="20">
        <f>T20*1.2</f>
        <v>1964.1047999999998</v>
      </c>
      <c r="W21" s="12"/>
    </row>
    <row r="22" spans="1:24" x14ac:dyDescent="0.3">
      <c r="B22" s="2" t="s">
        <v>23</v>
      </c>
      <c r="C22" s="2" t="s">
        <v>24</v>
      </c>
      <c r="D22" s="16">
        <v>3756.33</v>
      </c>
      <c r="E22" s="6">
        <f>D22*10.7639-14.65</f>
        <v>40418.110486999998</v>
      </c>
      <c r="G22" s="1">
        <f>D22/15</f>
        <v>250.422</v>
      </c>
      <c r="K22" s="43"/>
      <c r="L22" s="2"/>
      <c r="M22" s="2"/>
      <c r="N22" s="10"/>
      <c r="O22" s="10"/>
      <c r="P22" s="135"/>
      <c r="Q22" s="10"/>
      <c r="R22" s="74"/>
      <c r="S22" s="137"/>
      <c r="T22" s="74"/>
      <c r="W22" s="12"/>
    </row>
    <row r="23" spans="1:24" x14ac:dyDescent="0.3">
      <c r="B23" s="2" t="s">
        <v>25</v>
      </c>
      <c r="C23" s="2" t="s">
        <v>26</v>
      </c>
      <c r="D23" s="13">
        <f>D6*0.5</f>
        <v>769.45</v>
      </c>
      <c r="E23" s="6">
        <f>D23*10.7639-4.89</f>
        <v>8277.3928550000001</v>
      </c>
      <c r="F23" s="14"/>
      <c r="K23" s="43" t="s">
        <v>76</v>
      </c>
      <c r="L23" s="5"/>
      <c r="M23" s="8" t="s">
        <v>78</v>
      </c>
      <c r="N23" s="10"/>
      <c r="O23" s="10"/>
      <c r="P23" s="135"/>
      <c r="Q23" s="10"/>
      <c r="R23" s="74"/>
      <c r="S23" s="137"/>
      <c r="T23" s="74"/>
      <c r="W23" s="12"/>
    </row>
    <row r="24" spans="1:24" x14ac:dyDescent="0.3">
      <c r="B24" s="2" t="s">
        <v>27</v>
      </c>
      <c r="C24" s="2" t="s">
        <v>28</v>
      </c>
      <c r="D24" s="13">
        <f>D6*0.9</f>
        <v>1385.0100000000002</v>
      </c>
      <c r="E24" s="13">
        <f>D24*10.7639-8.79</f>
        <v>14899.319139000001</v>
      </c>
      <c r="F24" s="15"/>
      <c r="K24" s="43"/>
      <c r="L24" s="2"/>
      <c r="M24" s="2" t="s">
        <v>239</v>
      </c>
      <c r="N24" s="10"/>
      <c r="O24" s="10">
        <f>N13*2.4</f>
        <v>3518.1600000000003</v>
      </c>
      <c r="P24" s="135">
        <f>O24*10.7639</f>
        <v>37869.122424000001</v>
      </c>
      <c r="Q24" s="10">
        <f>N13*2.4</f>
        <v>3518.1600000000003</v>
      </c>
      <c r="R24" s="74">
        <f>N13*2.4</f>
        <v>3518.1600000000003</v>
      </c>
      <c r="S24" s="9">
        <f>N13*2.4</f>
        <v>3518.1600000000003</v>
      </c>
      <c r="T24" s="74">
        <f>N13*2.4</f>
        <v>3518.1600000000003</v>
      </c>
      <c r="W24" s="12" t="s">
        <v>213</v>
      </c>
    </row>
    <row r="25" spans="1:24" x14ac:dyDescent="0.3">
      <c r="A25" s="17"/>
      <c r="B25" s="18"/>
      <c r="C25" s="19" t="s">
        <v>29</v>
      </c>
      <c r="D25" s="20">
        <f>SUM(D21:D24)</f>
        <v>7603.58</v>
      </c>
      <c r="E25" s="20">
        <f>SUM(E21:E24)</f>
        <v>81805.104762000003</v>
      </c>
      <c r="F25" s="21">
        <f>E25/D25</f>
        <v>10.758761630968571</v>
      </c>
      <c r="G25" s="20">
        <f>SUM(G21:G24)+0.01</f>
        <v>250.43199999999999</v>
      </c>
      <c r="K25" s="43"/>
      <c r="L25" s="2"/>
      <c r="M25" s="2" t="s">
        <v>240</v>
      </c>
      <c r="N25" s="10"/>
      <c r="O25" s="10">
        <f>N12*2</f>
        <v>146</v>
      </c>
      <c r="P25" s="135">
        <f>O25*10.7639</f>
        <v>1571.5293999999999</v>
      </c>
      <c r="Q25" s="10">
        <f>N12*2</f>
        <v>146</v>
      </c>
      <c r="R25" s="74">
        <f>N12*2</f>
        <v>146</v>
      </c>
      <c r="S25" s="9">
        <f>N12*2</f>
        <v>146</v>
      </c>
      <c r="T25" s="74">
        <f>N12*2</f>
        <v>146</v>
      </c>
      <c r="W25" s="12"/>
    </row>
    <row r="26" spans="1:24" x14ac:dyDescent="0.3">
      <c r="B26" s="2"/>
      <c r="C26" s="2"/>
      <c r="D26" s="11"/>
      <c r="E26" s="11"/>
      <c r="F26" s="14"/>
      <c r="G26" s="15"/>
      <c r="K26" s="43"/>
      <c r="L26" s="2"/>
      <c r="M26" s="5" t="s">
        <v>79</v>
      </c>
      <c r="N26" s="11"/>
      <c r="O26" s="11">
        <f t="shared" ref="O26:T26" si="4">SUM(O24:O25)</f>
        <v>3664.1600000000003</v>
      </c>
      <c r="P26" s="136">
        <f t="shared" si="4"/>
        <v>39440.651824</v>
      </c>
      <c r="Q26" s="11">
        <f t="shared" si="4"/>
        <v>3664.1600000000003</v>
      </c>
      <c r="R26" s="11">
        <f t="shared" si="4"/>
        <v>3664.1600000000003</v>
      </c>
      <c r="S26" s="11">
        <f t="shared" si="4"/>
        <v>3664.1600000000003</v>
      </c>
      <c r="T26" s="11">
        <f t="shared" si="4"/>
        <v>3664.1600000000003</v>
      </c>
      <c r="W26" s="12"/>
    </row>
    <row r="27" spans="1:24" x14ac:dyDescent="0.3">
      <c r="B27" s="2" t="s">
        <v>30</v>
      </c>
      <c r="C27" s="2" t="s">
        <v>31</v>
      </c>
      <c r="D27" s="16">
        <v>2727.3</v>
      </c>
      <c r="E27" s="6">
        <f>D27*10.7639-10.61</f>
        <v>29345.77447</v>
      </c>
      <c r="F27" s="14">
        <f>E27/D27</f>
        <v>10.76000970556961</v>
      </c>
      <c r="K27" s="43"/>
      <c r="L27" s="2"/>
      <c r="M27" s="2"/>
      <c r="N27" s="10"/>
      <c r="O27" s="10"/>
      <c r="P27" s="46"/>
      <c r="Q27" s="10"/>
      <c r="W27" s="73" t="s">
        <v>214</v>
      </c>
      <c r="X27" t="s">
        <v>215</v>
      </c>
    </row>
    <row r="28" spans="1:24" ht="28.8" x14ac:dyDescent="0.3">
      <c r="B28" s="2" t="s">
        <v>32</v>
      </c>
      <c r="C28" s="2" t="s">
        <v>33</v>
      </c>
      <c r="D28" s="9">
        <f>D27*0.6</f>
        <v>1636.38</v>
      </c>
      <c r="E28" s="6">
        <f>D28*10.7639-6.37</f>
        <v>17607.460682000001</v>
      </c>
      <c r="F28" s="14"/>
      <c r="I28" t="s">
        <v>241</v>
      </c>
      <c r="K28" s="123"/>
      <c r="L28" s="19" t="s">
        <v>86</v>
      </c>
      <c r="M28" s="125" t="s">
        <v>231</v>
      </c>
      <c r="N28" s="20"/>
      <c r="O28" s="20">
        <f>O21*1.45</f>
        <v>2847.9487177999995</v>
      </c>
      <c r="P28" s="124">
        <f>O28*10.7639</f>
        <v>30655.035203527412</v>
      </c>
      <c r="Q28" s="20">
        <f>Q21*1.65</f>
        <v>3240.7692305999994</v>
      </c>
      <c r="R28" s="20">
        <f>R21*1.7</f>
        <v>3338.9781599999997</v>
      </c>
      <c r="S28" s="20">
        <f>S21*1.75</f>
        <v>3437.1833999999999</v>
      </c>
      <c r="T28" s="20">
        <f>T21*1.8</f>
        <v>3535.3886399999997</v>
      </c>
      <c r="W28" s="12" t="s">
        <v>188</v>
      </c>
    </row>
    <row r="29" spans="1:24" x14ac:dyDescent="0.3">
      <c r="B29" s="2" t="s">
        <v>34</v>
      </c>
      <c r="C29" s="2" t="s">
        <v>35</v>
      </c>
      <c r="D29" s="3">
        <f>D27+D28</f>
        <v>4363.68</v>
      </c>
      <c r="E29" s="3">
        <f>E27+E28</f>
        <v>46953.235152000001</v>
      </c>
      <c r="F29" s="14"/>
      <c r="K29" s="43"/>
      <c r="L29" s="2" t="s">
        <v>94</v>
      </c>
      <c r="M29" s="2" t="s">
        <v>245</v>
      </c>
      <c r="N29" s="10"/>
      <c r="O29" s="10">
        <f>N15*0.35</f>
        <v>572.01549999999997</v>
      </c>
      <c r="P29" s="135">
        <f>O29*10.7639</f>
        <v>6157.1176404499993</v>
      </c>
      <c r="Q29" s="10">
        <f>N15*0.35</f>
        <v>572.01549999999997</v>
      </c>
      <c r="R29" s="74">
        <f>N15*0.35</f>
        <v>572.01549999999997</v>
      </c>
      <c r="S29" s="9">
        <f>N15*0.35</f>
        <v>572.01549999999997</v>
      </c>
      <c r="T29" s="74">
        <f>N15*0.35</f>
        <v>572.01549999999997</v>
      </c>
      <c r="W29" s="12"/>
    </row>
    <row r="30" spans="1:24" x14ac:dyDescent="0.3">
      <c r="B30" s="2"/>
      <c r="C30" s="2"/>
      <c r="D30" s="9"/>
      <c r="E30" s="13"/>
      <c r="F30" s="14"/>
      <c r="K30" s="43"/>
      <c r="L30" s="2" t="s">
        <v>100</v>
      </c>
      <c r="M30" s="2" t="s">
        <v>85</v>
      </c>
      <c r="N30" s="10"/>
      <c r="O30" s="36">
        <f>O28/1.2</f>
        <v>2373.2905981666663</v>
      </c>
      <c r="P30" s="135">
        <f>O30*10.7639</f>
        <v>25545.86266960618</v>
      </c>
      <c r="Q30" s="36">
        <f>Q28/1.2</f>
        <v>2700.6410254999996</v>
      </c>
      <c r="R30" s="36">
        <f t="shared" ref="R30:T30" si="5">R28/1.2</f>
        <v>2782.4818</v>
      </c>
      <c r="S30" s="36">
        <f t="shared" si="5"/>
        <v>2864.3195000000001</v>
      </c>
      <c r="T30" s="36">
        <f t="shared" si="5"/>
        <v>2946.1571999999996</v>
      </c>
      <c r="W30" s="12"/>
    </row>
    <row r="31" spans="1:24" x14ac:dyDescent="0.3">
      <c r="B31" s="2" t="s">
        <v>36</v>
      </c>
      <c r="C31" s="2" t="s">
        <v>37</v>
      </c>
      <c r="D31" s="16">
        <v>220.66</v>
      </c>
      <c r="E31" s="6">
        <f>D31*10.7639+0.04</f>
        <v>2375.202174</v>
      </c>
      <c r="F31" s="14">
        <v>2375.1999999999998</v>
      </c>
      <c r="G31" s="4"/>
      <c r="K31" s="43"/>
      <c r="L31" s="2"/>
      <c r="M31" s="2"/>
      <c r="N31" s="10"/>
      <c r="O31" s="36"/>
      <c r="P31" s="138"/>
      <c r="Q31" s="36"/>
      <c r="R31" s="74"/>
      <c r="S31" s="6"/>
      <c r="T31" s="74"/>
      <c r="W31" s="12"/>
    </row>
    <row r="32" spans="1:24" x14ac:dyDescent="0.3">
      <c r="B32" s="2" t="s">
        <v>38</v>
      </c>
      <c r="C32" s="2" t="s">
        <v>39</v>
      </c>
      <c r="D32" s="9">
        <f>D31*0.8</f>
        <v>176.52800000000002</v>
      </c>
      <c r="E32" s="6">
        <f>D32*10.7639+0.01</f>
        <v>1900.1397392000001</v>
      </c>
      <c r="F32" s="14"/>
      <c r="K32" s="43" t="s">
        <v>84</v>
      </c>
      <c r="L32" s="2"/>
      <c r="M32" s="2" t="s">
        <v>242</v>
      </c>
      <c r="N32" s="10"/>
      <c r="O32" s="10">
        <f>N13*0.5</f>
        <v>732.95</v>
      </c>
      <c r="P32" s="135">
        <f>O32*10.7639</f>
        <v>7889.4005050000005</v>
      </c>
      <c r="Q32" s="10">
        <f>N13*0.5</f>
        <v>732.95</v>
      </c>
      <c r="R32" s="74">
        <f>N13*0.5</f>
        <v>732.95</v>
      </c>
      <c r="S32" s="9">
        <f>N13*0.5</f>
        <v>732.95</v>
      </c>
      <c r="T32" s="74">
        <f>N13*0.5</f>
        <v>732.95</v>
      </c>
      <c r="W32" s="12" t="s">
        <v>216</v>
      </c>
    </row>
    <row r="33" spans="1:23" x14ac:dyDescent="0.3">
      <c r="B33" s="2" t="s">
        <v>40</v>
      </c>
      <c r="C33" s="2" t="s">
        <v>41</v>
      </c>
      <c r="D33" s="3">
        <f>D31+D32</f>
        <v>397.18799999999999</v>
      </c>
      <c r="E33" s="3">
        <f>E31+E32</f>
        <v>4275.3419131999999</v>
      </c>
      <c r="F33" s="14"/>
      <c r="K33" s="43"/>
      <c r="L33" s="2"/>
      <c r="M33" s="2"/>
      <c r="N33" s="10"/>
      <c r="O33" s="10"/>
      <c r="P33" s="138"/>
      <c r="Q33" s="10"/>
      <c r="R33" s="74"/>
      <c r="S33" s="2"/>
      <c r="T33" s="74"/>
      <c r="W33" s="12"/>
    </row>
    <row r="34" spans="1:23" x14ac:dyDescent="0.3">
      <c r="B34" s="2"/>
      <c r="C34" s="2"/>
      <c r="D34" s="3"/>
      <c r="E34" s="3"/>
      <c r="F34" s="14"/>
      <c r="K34" s="43" t="s">
        <v>77</v>
      </c>
      <c r="L34" s="2"/>
      <c r="M34" s="2" t="s">
        <v>227</v>
      </c>
      <c r="N34" s="10"/>
      <c r="O34" s="10">
        <f>N13*0.9</f>
        <v>1319.3100000000002</v>
      </c>
      <c r="P34" s="135">
        <f>O34*10.7639</f>
        <v>14200.920909000002</v>
      </c>
      <c r="Q34" s="10">
        <f>N13*0.9</f>
        <v>1319.3100000000002</v>
      </c>
      <c r="R34" s="74">
        <f>N13*0.9</f>
        <v>1319.3100000000002</v>
      </c>
      <c r="S34" s="9">
        <f>N13*0.9</f>
        <v>1319.3100000000002</v>
      </c>
      <c r="T34" s="74">
        <f>N13*0.9</f>
        <v>1319.3100000000002</v>
      </c>
      <c r="W34" s="12"/>
    </row>
    <row r="35" spans="1:23" ht="30.75" customHeight="1" x14ac:dyDescent="0.3">
      <c r="A35" s="17"/>
      <c r="B35" s="18"/>
      <c r="C35" s="19" t="s">
        <v>42</v>
      </c>
      <c r="D35" s="22">
        <f>D29+D33</f>
        <v>4760.8680000000004</v>
      </c>
      <c r="E35" s="22">
        <f>E29+E33+17.45</f>
        <v>51246.027065199996</v>
      </c>
      <c r="F35" s="21"/>
      <c r="G35" s="17"/>
      <c r="K35" s="43"/>
      <c r="L35" s="2" t="s">
        <v>86</v>
      </c>
      <c r="M35" s="70" t="s">
        <v>185</v>
      </c>
      <c r="N35" s="10"/>
      <c r="O35" s="10">
        <f>O34-(33*10)-108.14</f>
        <v>881.17000000000019</v>
      </c>
      <c r="P35" s="135">
        <f>O35*10.7639</f>
        <v>9484.8257630000007</v>
      </c>
      <c r="Q35" s="10">
        <f>Q34-(33*10)-108.14</f>
        <v>881.17000000000019</v>
      </c>
      <c r="R35" s="10">
        <f t="shared" ref="R35:T35" si="6">R34-(33*10)-108.14</f>
        <v>881.17000000000019</v>
      </c>
      <c r="S35" s="10">
        <f t="shared" si="6"/>
        <v>881.17000000000019</v>
      </c>
      <c r="T35" s="10">
        <f t="shared" si="6"/>
        <v>881.17000000000019</v>
      </c>
      <c r="W35" s="71" t="s">
        <v>186</v>
      </c>
    </row>
    <row r="36" spans="1:23" x14ac:dyDescent="0.3">
      <c r="B36" s="2"/>
      <c r="C36" s="5"/>
      <c r="D36" s="9"/>
      <c r="E36" s="11"/>
      <c r="F36" s="14"/>
      <c r="G36" s="15"/>
      <c r="K36" s="43"/>
      <c r="L36" s="2"/>
      <c r="M36" s="2"/>
      <c r="N36" s="10"/>
      <c r="O36" s="10"/>
      <c r="P36" s="138"/>
      <c r="Q36" s="10"/>
      <c r="R36" s="74"/>
      <c r="S36" s="2"/>
      <c r="T36" s="74"/>
      <c r="W36" s="12"/>
    </row>
    <row r="37" spans="1:23" ht="28.8" x14ac:dyDescent="0.3">
      <c r="B37" s="2"/>
      <c r="C37" s="8" t="s">
        <v>43</v>
      </c>
      <c r="D37" s="9"/>
      <c r="E37" s="11"/>
      <c r="F37" s="14"/>
      <c r="G37" s="15"/>
      <c r="K37" s="43" t="s">
        <v>88</v>
      </c>
      <c r="L37" s="2"/>
      <c r="M37" s="37" t="s">
        <v>243</v>
      </c>
      <c r="N37" s="10"/>
      <c r="O37" s="10">
        <f>(O19+0.0043776)*1.2*1.4-0.00672</f>
        <v>232.55295436799997</v>
      </c>
      <c r="P37" s="135">
        <f>O37*10.7639</f>
        <v>2503.176745521715</v>
      </c>
      <c r="Q37" s="10">
        <f>(Q19+0.0043776)*1.2*1.4-0.00672</f>
        <v>232.55295436799997</v>
      </c>
      <c r="R37" s="10">
        <f>(R19+0.0043776)*1.2*1.4-0.00672</f>
        <v>232.55295436799997</v>
      </c>
      <c r="S37" s="10">
        <f>(S19+0.0043776)*1.2*1.4-0.00672</f>
        <v>232.55295436799997</v>
      </c>
      <c r="T37" s="10">
        <f>(T19+0.0043776)*1.2*1.4-0.00672</f>
        <v>232.55295436799997</v>
      </c>
      <c r="V37">
        <v>6.7200679999643853E-3</v>
      </c>
      <c r="W37" s="12"/>
    </row>
    <row r="38" spans="1:23" x14ac:dyDescent="0.3">
      <c r="B38" s="2" t="s">
        <v>20</v>
      </c>
      <c r="C38" s="5" t="s">
        <v>44</v>
      </c>
      <c r="D38" s="9">
        <f>D29*0.78</f>
        <v>3403.6704000000004</v>
      </c>
      <c r="E38" s="6">
        <f>D38*10.7639</f>
        <v>36636.767818560002</v>
      </c>
      <c r="F38" s="14"/>
      <c r="K38" s="43"/>
      <c r="L38" s="2"/>
      <c r="M38" s="2"/>
      <c r="N38" s="10"/>
      <c r="O38" s="10"/>
      <c r="P38" s="138"/>
      <c r="Q38" s="10"/>
      <c r="R38" s="74"/>
      <c r="S38" s="2"/>
      <c r="T38" s="74"/>
      <c r="W38" s="12"/>
    </row>
    <row r="39" spans="1:23" ht="28.8" x14ac:dyDescent="0.3">
      <c r="B39" s="2" t="s">
        <v>23</v>
      </c>
      <c r="C39" s="5" t="s">
        <v>45</v>
      </c>
      <c r="D39" s="9">
        <f>D33*0.82</f>
        <v>325.69415999999995</v>
      </c>
      <c r="E39" s="6">
        <f>D39*10.7639</f>
        <v>3505.7393688239995</v>
      </c>
      <c r="F39" s="14"/>
      <c r="K39" s="43" t="s">
        <v>89</v>
      </c>
      <c r="L39" s="2"/>
      <c r="M39" s="37" t="s">
        <v>244</v>
      </c>
      <c r="N39" s="10"/>
      <c r="O39" s="10">
        <f>O6*4</f>
        <v>6155.6</v>
      </c>
      <c r="P39" s="135">
        <f>O39*10.7639</f>
        <v>66258.262839999996</v>
      </c>
      <c r="Q39" s="10">
        <f>Q6*4</f>
        <v>6155.6</v>
      </c>
      <c r="R39" s="74">
        <f>O6*4</f>
        <v>6155.6</v>
      </c>
      <c r="S39" s="9">
        <f>O6*4</f>
        <v>6155.6</v>
      </c>
      <c r="T39" s="74">
        <f>O6*4</f>
        <v>6155.6</v>
      </c>
      <c r="W39" s="12"/>
    </row>
    <row r="40" spans="1:23" x14ac:dyDescent="0.3">
      <c r="A40" s="17"/>
      <c r="B40" s="18"/>
      <c r="C40" s="19" t="s">
        <v>46</v>
      </c>
      <c r="D40" s="22">
        <f>SUM(D38:D39)</f>
        <v>3729.3645600000004</v>
      </c>
      <c r="E40" s="22">
        <f>SUM(E38:E39)</f>
        <v>40142.507187383999</v>
      </c>
      <c r="F40" s="21"/>
      <c r="G40" s="17"/>
      <c r="K40" s="43"/>
      <c r="L40" s="2"/>
      <c r="M40" s="2" t="s">
        <v>90</v>
      </c>
      <c r="N40" s="10"/>
      <c r="O40" s="35">
        <v>3664.16</v>
      </c>
      <c r="P40" s="135">
        <f>O40*10.7639</f>
        <v>39440.651824</v>
      </c>
      <c r="Q40" s="35">
        <v>3664.16</v>
      </c>
      <c r="R40" s="35">
        <v>3664.16</v>
      </c>
      <c r="S40" s="35">
        <v>3664.16</v>
      </c>
      <c r="T40" s="35">
        <v>3664.16</v>
      </c>
      <c r="W40" s="12"/>
    </row>
    <row r="41" spans="1:23" x14ac:dyDescent="0.3">
      <c r="B41" s="2"/>
      <c r="C41" s="8" t="s">
        <v>47</v>
      </c>
      <c r="D41" s="9"/>
      <c r="E41" s="11"/>
      <c r="F41" s="14"/>
      <c r="G41" s="15"/>
      <c r="K41" s="43"/>
      <c r="L41" s="2"/>
      <c r="M41" s="2" t="s">
        <v>92</v>
      </c>
      <c r="N41" s="10"/>
      <c r="O41" s="13">
        <f>O39-O40</f>
        <v>2491.4400000000005</v>
      </c>
      <c r="P41" s="135">
        <f>O41*10.7639</f>
        <v>26817.611016000006</v>
      </c>
      <c r="Q41" s="13">
        <f>Q39-Q40</f>
        <v>2491.4400000000005</v>
      </c>
      <c r="R41" s="13">
        <f t="shared" ref="R41:T41" si="7">R39-R40</f>
        <v>2491.4400000000005</v>
      </c>
      <c r="S41" s="13">
        <f t="shared" si="7"/>
        <v>2491.4400000000005</v>
      </c>
      <c r="T41" s="13">
        <f t="shared" si="7"/>
        <v>2491.4400000000005</v>
      </c>
      <c r="W41" s="12"/>
    </row>
    <row r="42" spans="1:23" x14ac:dyDescent="0.3">
      <c r="B42" s="2" t="s">
        <v>20</v>
      </c>
      <c r="C42" s="5" t="s">
        <v>48</v>
      </c>
      <c r="D42" s="16">
        <v>3840.04</v>
      </c>
      <c r="E42" s="11">
        <f>D42*10.7639+0.4</f>
        <v>41334.206555999997</v>
      </c>
      <c r="F42" s="14"/>
      <c r="K42" s="43"/>
      <c r="L42" s="2"/>
      <c r="M42" s="2"/>
      <c r="N42" s="10"/>
      <c r="O42" s="13"/>
      <c r="P42" s="135"/>
      <c r="Q42" s="13"/>
      <c r="R42" s="74"/>
      <c r="S42" s="2"/>
      <c r="T42" s="74"/>
      <c r="W42" s="12"/>
    </row>
    <row r="43" spans="1:23" x14ac:dyDescent="0.3">
      <c r="B43" s="2" t="s">
        <v>23</v>
      </c>
      <c r="C43" s="5" t="s">
        <v>49</v>
      </c>
      <c r="D43" s="16">
        <v>337.61</v>
      </c>
      <c r="E43" s="11">
        <f>D43*10.7639+0.06</f>
        <v>3634.0602789999998</v>
      </c>
      <c r="F43" s="14"/>
      <c r="K43" s="43"/>
      <c r="L43" s="2" t="s">
        <v>86</v>
      </c>
      <c r="M43" s="2" t="s">
        <v>93</v>
      </c>
      <c r="N43" s="10"/>
      <c r="O43" s="13">
        <f>O41*0.5</f>
        <v>1245.7200000000003</v>
      </c>
      <c r="P43" s="135">
        <f>O43*10.7639</f>
        <v>13408.805508000003</v>
      </c>
      <c r="Q43" s="13">
        <f>Q41*0.5</f>
        <v>1245.7200000000003</v>
      </c>
      <c r="R43" s="13">
        <f t="shared" ref="R43:T43" si="8">R41*0.5</f>
        <v>1245.7200000000003</v>
      </c>
      <c r="S43" s="13">
        <f t="shared" si="8"/>
        <v>1245.7200000000003</v>
      </c>
      <c r="T43" s="13">
        <f t="shared" si="8"/>
        <v>1245.7200000000003</v>
      </c>
      <c r="W43" s="12" t="s">
        <v>207</v>
      </c>
    </row>
    <row r="44" spans="1:23" x14ac:dyDescent="0.3">
      <c r="A44" s="17"/>
      <c r="B44" s="18"/>
      <c r="C44" s="19" t="s">
        <v>50</v>
      </c>
      <c r="D44" s="22">
        <f>SUM(D42:D43)</f>
        <v>4177.6499999999996</v>
      </c>
      <c r="E44" s="20">
        <f>D44*10.7639+0.45</f>
        <v>44968.256834999993</v>
      </c>
      <c r="F44" s="21"/>
      <c r="G44" s="17"/>
      <c r="K44" s="43"/>
      <c r="L44" s="2" t="s">
        <v>94</v>
      </c>
      <c r="M44" s="2" t="s">
        <v>187</v>
      </c>
      <c r="N44" s="10"/>
      <c r="O44" s="13">
        <f>O43*2</f>
        <v>2491.4400000000005</v>
      </c>
      <c r="P44" s="135">
        <f>O44*10.7639</f>
        <v>26817.611016000006</v>
      </c>
      <c r="Q44" s="13">
        <f>Q43*2</f>
        <v>2491.4400000000005</v>
      </c>
      <c r="R44" s="13">
        <f t="shared" ref="R44:T44" si="9">R43*2</f>
        <v>2491.4400000000005</v>
      </c>
      <c r="S44" s="13">
        <f t="shared" si="9"/>
        <v>2491.4400000000005</v>
      </c>
      <c r="T44" s="13">
        <f t="shared" si="9"/>
        <v>2491.4400000000005</v>
      </c>
      <c r="W44" s="12"/>
    </row>
    <row r="45" spans="1:23" x14ac:dyDescent="0.3">
      <c r="C45" s="4"/>
      <c r="D45" s="14" t="s">
        <v>51</v>
      </c>
      <c r="E45" s="14" t="s">
        <v>52</v>
      </c>
      <c r="G45" s="14"/>
      <c r="K45" s="43"/>
      <c r="L45" s="2"/>
      <c r="M45" s="2"/>
      <c r="N45" s="10"/>
      <c r="O45" s="13"/>
      <c r="P45" s="135"/>
      <c r="Q45" s="13"/>
      <c r="R45" s="74"/>
      <c r="S45" s="2"/>
      <c r="T45" s="74"/>
      <c r="W45" s="12"/>
    </row>
    <row r="46" spans="1:23" x14ac:dyDescent="0.3">
      <c r="C46" s="4" t="s">
        <v>53</v>
      </c>
      <c r="D46" s="23">
        <v>72</v>
      </c>
      <c r="E46" s="1">
        <f>E42</f>
        <v>41334.206555999997</v>
      </c>
      <c r="G46" s="23"/>
      <c r="K46" s="43" t="s">
        <v>95</v>
      </c>
      <c r="L46" s="5"/>
      <c r="M46" s="5" t="s">
        <v>228</v>
      </c>
      <c r="N46" s="11"/>
      <c r="O46" s="11">
        <f>O6*4</f>
        <v>6155.6</v>
      </c>
      <c r="P46" s="136">
        <f>O46*10.7639</f>
        <v>66258.262839999996</v>
      </c>
      <c r="Q46" s="11">
        <f>Q44+Q40</f>
        <v>6155.6</v>
      </c>
      <c r="R46" s="11">
        <f>R6*4</f>
        <v>6155.6</v>
      </c>
      <c r="S46" s="11">
        <f>S6*4</f>
        <v>6155.6</v>
      </c>
      <c r="T46" s="11">
        <f>T6*4</f>
        <v>6155.6</v>
      </c>
      <c r="W46" s="12"/>
    </row>
    <row r="47" spans="1:23" ht="16.2" x14ac:dyDescent="0.45">
      <c r="C47" s="4" t="s">
        <v>54</v>
      </c>
      <c r="D47" s="23">
        <v>12</v>
      </c>
      <c r="E47" s="1">
        <f>E43</f>
        <v>3634.0602789999998</v>
      </c>
      <c r="G47" s="24"/>
      <c r="K47" s="43" t="s">
        <v>96</v>
      </c>
      <c r="L47" s="5"/>
      <c r="M47" s="5" t="s">
        <v>229</v>
      </c>
      <c r="N47" s="11"/>
      <c r="O47" s="11">
        <f>O46*0.35</f>
        <v>2154.46</v>
      </c>
      <c r="P47" s="136">
        <f>O47*10.7639</f>
        <v>23190.391993999998</v>
      </c>
      <c r="Q47" s="11">
        <f>Q46*0.35</f>
        <v>2154.46</v>
      </c>
      <c r="R47" s="11">
        <f t="shared" ref="R47:T47" si="10">R46*0.35</f>
        <v>2154.46</v>
      </c>
      <c r="S47" s="11">
        <f t="shared" si="10"/>
        <v>2154.46</v>
      </c>
      <c r="T47" s="11">
        <f t="shared" si="10"/>
        <v>2154.46</v>
      </c>
      <c r="W47" s="12"/>
    </row>
    <row r="48" spans="1:23" x14ac:dyDescent="0.3">
      <c r="C48" s="4"/>
      <c r="E48" s="23"/>
      <c r="G48" s="23"/>
      <c r="K48" s="123" t="s">
        <v>97</v>
      </c>
      <c r="L48" s="19"/>
      <c r="M48" s="19" t="s">
        <v>98</v>
      </c>
      <c r="N48" s="20"/>
      <c r="O48" s="20">
        <f>O46+O47</f>
        <v>8310.0600000000013</v>
      </c>
      <c r="P48" s="124">
        <f>O48*10.7639</f>
        <v>89448.654834000015</v>
      </c>
      <c r="Q48" s="20">
        <f>Q46+Q47</f>
        <v>8310.0600000000013</v>
      </c>
      <c r="R48" s="20">
        <f t="shared" ref="R48:T48" si="11">R46+R47</f>
        <v>8310.0600000000013</v>
      </c>
      <c r="S48" s="20">
        <f t="shared" si="11"/>
        <v>8310.0600000000013</v>
      </c>
      <c r="T48" s="20">
        <f t="shared" si="11"/>
        <v>8310.0600000000013</v>
      </c>
    </row>
    <row r="49" spans="3:24" s="4" customFormat="1" ht="16.2" x14ac:dyDescent="0.45">
      <c r="C49" s="26" t="s">
        <v>55</v>
      </c>
      <c r="E49" s="27" t="s">
        <v>56</v>
      </c>
      <c r="F49" s="24" t="s">
        <v>57</v>
      </c>
      <c r="G49" s="24" t="s">
        <v>58</v>
      </c>
      <c r="K49" s="43" t="s">
        <v>99</v>
      </c>
      <c r="L49" s="2"/>
      <c r="M49" s="2" t="s">
        <v>246</v>
      </c>
      <c r="N49" s="10"/>
      <c r="O49" s="13">
        <f>O47-O29</f>
        <v>1582.4445000000001</v>
      </c>
      <c r="P49" s="44">
        <f>O49*10.7639</f>
        <v>17033.274353550001</v>
      </c>
      <c r="Q49" s="13">
        <f>Q47-Q29</f>
        <v>1582.4445000000001</v>
      </c>
      <c r="R49" s="13">
        <f t="shared" ref="R49:T49" si="12">R47-R29</f>
        <v>1582.4445000000001</v>
      </c>
      <c r="S49" s="13">
        <f t="shared" si="12"/>
        <v>1582.4445000000001</v>
      </c>
      <c r="T49" s="13">
        <f t="shared" si="12"/>
        <v>1582.4445000000001</v>
      </c>
      <c r="V49" s="14">
        <f>O48/O5</f>
        <v>5.4</v>
      </c>
      <c r="W49" s="14">
        <f>P48/P5</f>
        <v>5.4031836072813695</v>
      </c>
    </row>
    <row r="50" spans="3:24" x14ac:dyDescent="0.3">
      <c r="C50" s="4" t="s">
        <v>59</v>
      </c>
      <c r="D50" t="s">
        <v>53</v>
      </c>
      <c r="E50" s="28">
        <f>D46*25000</f>
        <v>1800000</v>
      </c>
      <c r="F50" s="29"/>
      <c r="G50" s="29"/>
      <c r="K50" s="43"/>
      <c r="L50" s="2"/>
      <c r="M50" s="2"/>
      <c r="N50" s="10"/>
      <c r="O50" s="13"/>
      <c r="P50" s="44"/>
      <c r="Q50" s="13"/>
    </row>
    <row r="51" spans="3:24" s="4" customFormat="1" x14ac:dyDescent="0.3">
      <c r="C51" s="4" t="s">
        <v>59</v>
      </c>
      <c r="D51" s="4" t="s">
        <v>54</v>
      </c>
      <c r="E51" s="29">
        <f>D47*40000</f>
        <v>480000</v>
      </c>
      <c r="F51" s="29"/>
      <c r="G51" s="29"/>
      <c r="K51" s="123" t="s">
        <v>101</v>
      </c>
      <c r="L51" s="19"/>
      <c r="M51" s="19" t="s">
        <v>230</v>
      </c>
      <c r="N51" s="20"/>
      <c r="O51" s="20">
        <f>O48*1.35</f>
        <v>11218.581000000002</v>
      </c>
      <c r="P51" s="124">
        <f>O51*10.7639</f>
        <v>120755.68402590002</v>
      </c>
      <c r="Q51" s="20">
        <f>Q48*1.35</f>
        <v>11218.581000000002</v>
      </c>
      <c r="R51" s="20">
        <f t="shared" ref="R51:T51" si="13">R48*1.35</f>
        <v>11218.581000000002</v>
      </c>
      <c r="S51" s="20">
        <f t="shared" si="13"/>
        <v>11218.581000000002</v>
      </c>
      <c r="T51" s="20">
        <f t="shared" si="13"/>
        <v>11218.581000000002</v>
      </c>
    </row>
    <row r="52" spans="3:24" x14ac:dyDescent="0.3">
      <c r="C52" s="30" t="s">
        <v>60</v>
      </c>
      <c r="D52" s="31"/>
      <c r="E52" s="32" t="e">
        <f>#REF!*20000</f>
        <v>#REF!</v>
      </c>
      <c r="F52" s="32"/>
      <c r="G52" s="33"/>
      <c r="K52" s="43"/>
      <c r="L52" s="2"/>
      <c r="M52" s="2"/>
      <c r="N52" s="10"/>
      <c r="O52" s="13"/>
      <c r="P52" s="44"/>
      <c r="Q52" s="13"/>
      <c r="W52">
        <v>2.4</v>
      </c>
      <c r="X52" s="73" t="s">
        <v>217</v>
      </c>
    </row>
    <row r="53" spans="3:24" x14ac:dyDescent="0.3">
      <c r="E53" s="28" t="e">
        <f>SUM(E50:E52)</f>
        <v>#REF!</v>
      </c>
      <c r="F53" s="28">
        <f>SUM(F50:F52)</f>
        <v>0</v>
      </c>
      <c r="G53" s="28">
        <f>SUM(G50:G52)</f>
        <v>0</v>
      </c>
      <c r="K53" s="123" t="s">
        <v>102</v>
      </c>
      <c r="L53" s="19"/>
      <c r="M53" s="19" t="s">
        <v>232</v>
      </c>
      <c r="N53" s="20"/>
      <c r="O53" s="20">
        <f>O48-O28</f>
        <v>5462.1112822000014</v>
      </c>
      <c r="P53" s="124">
        <f>O53*10.7639</f>
        <v>58793.619630472589</v>
      </c>
      <c r="Q53" s="20">
        <f>Q48-Q28</f>
        <v>5069.2907694000023</v>
      </c>
      <c r="R53" s="20">
        <f t="shared" ref="R53:T53" si="14">R48-R28</f>
        <v>4971.0818400000016</v>
      </c>
      <c r="S53" s="20">
        <f t="shared" si="14"/>
        <v>4872.8766000000014</v>
      </c>
      <c r="T53" s="20">
        <f t="shared" si="14"/>
        <v>4774.6713600000021</v>
      </c>
      <c r="W53">
        <v>1.6</v>
      </c>
      <c r="X53" s="73" t="s">
        <v>218</v>
      </c>
    </row>
    <row r="54" spans="3:24" x14ac:dyDescent="0.3">
      <c r="C54" s="26"/>
      <c r="D54" s="4" t="s">
        <v>61</v>
      </c>
      <c r="E54" s="25" t="e">
        <f>E53/10000000</f>
        <v>#REF!</v>
      </c>
      <c r="F54" s="25">
        <f>F53/10000000</f>
        <v>0</v>
      </c>
      <c r="G54" s="25">
        <f>G53/10000000</f>
        <v>0</v>
      </c>
      <c r="K54" s="43"/>
      <c r="L54" s="2"/>
      <c r="M54" s="2"/>
      <c r="N54" s="10"/>
      <c r="O54" s="13"/>
      <c r="P54" s="44"/>
      <c r="Q54" s="13"/>
    </row>
    <row r="55" spans="3:24" x14ac:dyDescent="0.3">
      <c r="D55" t="s">
        <v>62</v>
      </c>
      <c r="F55" s="23"/>
      <c r="G55" s="23" t="e">
        <f>SUM(E54:G54)</f>
        <v>#REF!</v>
      </c>
      <c r="K55" s="123" t="s">
        <v>103</v>
      </c>
      <c r="L55" s="19" t="s">
        <v>104</v>
      </c>
      <c r="M55" s="19" t="s">
        <v>233</v>
      </c>
      <c r="N55" s="20"/>
      <c r="O55" s="20">
        <f>O53/1.1</f>
        <v>4965.5557110909103</v>
      </c>
      <c r="P55" s="124">
        <f>O55*10.7639</f>
        <v>53448.745118611449</v>
      </c>
      <c r="Q55" s="20">
        <f>Q53/1.1</f>
        <v>4608.446154000002</v>
      </c>
      <c r="R55" s="20">
        <f t="shared" ref="R55:T55" si="15">R53/1.1</f>
        <v>4519.1653090909103</v>
      </c>
      <c r="S55" s="20">
        <f t="shared" si="15"/>
        <v>4429.8878181818191</v>
      </c>
      <c r="T55" s="20">
        <f t="shared" si="15"/>
        <v>4340.6103272727287</v>
      </c>
    </row>
    <row r="56" spans="3:24" ht="15" thickBot="1" x14ac:dyDescent="0.35">
      <c r="K56" s="39"/>
      <c r="L56" s="40"/>
      <c r="M56" s="40"/>
      <c r="N56" s="57"/>
      <c r="O56" s="41"/>
      <c r="P56" s="42"/>
    </row>
    <row r="57" spans="3:24" ht="15" thickBot="1" x14ac:dyDescent="0.35">
      <c r="K57" s="51"/>
      <c r="L57" s="52"/>
      <c r="M57" s="53" t="s">
        <v>105</v>
      </c>
      <c r="N57" s="55" t="s">
        <v>144</v>
      </c>
      <c r="O57" s="55" t="s">
        <v>106</v>
      </c>
      <c r="P57" s="59"/>
      <c r="Q57" s="60"/>
      <c r="R57" s="103" t="s">
        <v>107</v>
      </c>
      <c r="S57" s="53" t="s">
        <v>51</v>
      </c>
      <c r="T57" s="82" t="s">
        <v>108</v>
      </c>
      <c r="U57" s="4" t="s">
        <v>202</v>
      </c>
    </row>
    <row r="58" spans="3:24" x14ac:dyDescent="0.3">
      <c r="K58" s="49"/>
      <c r="L58" s="40"/>
      <c r="M58" s="40"/>
      <c r="N58" s="57"/>
      <c r="O58" s="41"/>
      <c r="P58" s="41"/>
      <c r="Q58" s="42"/>
      <c r="R58" s="91"/>
      <c r="S58" s="40"/>
      <c r="T58" s="81"/>
    </row>
    <row r="59" spans="3:24" x14ac:dyDescent="0.3">
      <c r="K59" s="43"/>
      <c r="L59" s="2"/>
      <c r="M59" s="5" t="s">
        <v>110</v>
      </c>
      <c r="N59" s="10"/>
      <c r="O59" s="10"/>
      <c r="P59" s="10"/>
      <c r="Q59" s="6"/>
      <c r="R59" s="74"/>
      <c r="S59" s="2"/>
      <c r="T59" s="77"/>
      <c r="U59" s="83"/>
    </row>
    <row r="60" spans="3:24" x14ac:dyDescent="0.3">
      <c r="J60" t="s">
        <v>76</v>
      </c>
      <c r="K60" s="43">
        <v>1</v>
      </c>
      <c r="L60" s="2"/>
      <c r="M60" s="2" t="s">
        <v>111</v>
      </c>
      <c r="N60" s="10">
        <f>O51</f>
        <v>11218.581000000002</v>
      </c>
      <c r="O60" s="10">
        <f>N60*10.7639+0.17</f>
        <v>120755.85402590001</v>
      </c>
      <c r="P60" s="10">
        <v>0</v>
      </c>
      <c r="Q60" s="6">
        <v>0</v>
      </c>
      <c r="R60" s="74">
        <v>4000</v>
      </c>
      <c r="S60" s="2" t="s">
        <v>112</v>
      </c>
      <c r="T60" s="77">
        <f>O60*R60-4.58</f>
        <v>483023411.5236001</v>
      </c>
      <c r="U60" s="83">
        <f>T60/3</f>
        <v>161007803.84120002</v>
      </c>
    </row>
    <row r="61" spans="3:24" x14ac:dyDescent="0.3">
      <c r="J61" t="s">
        <v>76</v>
      </c>
      <c r="K61" s="43">
        <f>+K60+1</f>
        <v>2</v>
      </c>
      <c r="L61" s="2"/>
      <c r="M61" s="2" t="s">
        <v>141</v>
      </c>
      <c r="N61" s="35">
        <v>3324.0239999999999</v>
      </c>
      <c r="O61" s="10">
        <f>N61*10.7639+0.33</f>
        <v>35779.791933599998</v>
      </c>
      <c r="P61" s="10">
        <v>0</v>
      </c>
      <c r="Q61" s="6">
        <v>0</v>
      </c>
      <c r="R61" s="74">
        <v>2500</v>
      </c>
      <c r="S61" s="2" t="s">
        <v>112</v>
      </c>
      <c r="T61" s="77">
        <f>O61*R61+6.01</f>
        <v>89449485.843999997</v>
      </c>
      <c r="U61" s="83">
        <f t="shared" ref="U61:U64" si="16">T61/3</f>
        <v>29816495.281333331</v>
      </c>
      <c r="V61" s="34"/>
    </row>
    <row r="62" spans="3:24" x14ac:dyDescent="0.3">
      <c r="J62" t="s">
        <v>76</v>
      </c>
      <c r="K62" s="43">
        <f t="shared" ref="K62:K73" si="17">+K61+1</f>
        <v>3</v>
      </c>
      <c r="L62" s="2"/>
      <c r="M62" s="2" t="s">
        <v>113</v>
      </c>
      <c r="N62" s="10">
        <v>0</v>
      </c>
      <c r="O62" s="10">
        <v>0</v>
      </c>
      <c r="P62" s="10">
        <v>0</v>
      </c>
      <c r="Q62" s="6">
        <v>0.05</v>
      </c>
      <c r="R62" s="74">
        <v>572472897.36000001</v>
      </c>
      <c r="S62" s="2" t="s">
        <v>148</v>
      </c>
      <c r="T62" s="77">
        <f>(T60+T61)*0.05</f>
        <v>28623644.868380006</v>
      </c>
      <c r="U62" s="83">
        <f t="shared" si="16"/>
        <v>9541214.9561266694</v>
      </c>
      <c r="V62" s="7"/>
    </row>
    <row r="63" spans="3:24" x14ac:dyDescent="0.3">
      <c r="J63" t="s">
        <v>76</v>
      </c>
      <c r="K63" s="43">
        <f t="shared" si="17"/>
        <v>4</v>
      </c>
      <c r="L63" s="2"/>
      <c r="M63" s="2" t="s">
        <v>114</v>
      </c>
      <c r="N63" s="10">
        <v>0</v>
      </c>
      <c r="O63" s="10">
        <v>0</v>
      </c>
      <c r="P63" s="10">
        <v>0</v>
      </c>
      <c r="Q63" s="6">
        <v>0.05</v>
      </c>
      <c r="R63" s="74">
        <v>572472897.36000001</v>
      </c>
      <c r="S63" s="2" t="s">
        <v>148</v>
      </c>
      <c r="T63" s="77">
        <f>(T60+T61)*0.05</f>
        <v>28623644.868380006</v>
      </c>
      <c r="U63" s="83">
        <f t="shared" si="16"/>
        <v>9541214.9561266694</v>
      </c>
      <c r="V63" s="12">
        <v>89449485.840000004</v>
      </c>
    </row>
    <row r="64" spans="3:24" x14ac:dyDescent="0.3">
      <c r="J64" t="s">
        <v>76</v>
      </c>
      <c r="K64" s="43">
        <f t="shared" si="17"/>
        <v>5</v>
      </c>
      <c r="L64" s="2"/>
      <c r="M64" s="2" t="s">
        <v>115</v>
      </c>
      <c r="N64" s="10">
        <v>0</v>
      </c>
      <c r="O64" s="10">
        <v>0</v>
      </c>
      <c r="P64" s="10">
        <v>0</v>
      </c>
      <c r="Q64" s="6">
        <v>0.06</v>
      </c>
      <c r="R64" s="74">
        <v>572472897.36000001</v>
      </c>
      <c r="S64" s="2" t="s">
        <v>148</v>
      </c>
      <c r="T64" s="77">
        <f>(T60+T61)*0.06</f>
        <v>34348373.842056006</v>
      </c>
      <c r="U64" s="83">
        <f t="shared" si="16"/>
        <v>11449457.947352001</v>
      </c>
      <c r="V64" s="12">
        <f>T61-V63</f>
        <v>3.9999932050704956E-3</v>
      </c>
    </row>
    <row r="65" spans="9:22" x14ac:dyDescent="0.3">
      <c r="I65" s="1">
        <f>R65/10.764</f>
        <v>11387.959866220737</v>
      </c>
      <c r="J65" t="s">
        <v>76</v>
      </c>
      <c r="K65" s="43">
        <f t="shared" si="17"/>
        <v>6</v>
      </c>
      <c r="L65" s="2"/>
      <c r="M65" s="2" t="s">
        <v>116</v>
      </c>
      <c r="N65" s="36">
        <f>O35</f>
        <v>881.17000000000019</v>
      </c>
      <c r="O65" s="13">
        <v>0</v>
      </c>
      <c r="P65" s="67">
        <v>0.2</v>
      </c>
      <c r="Q65" s="72">
        <v>0.85</v>
      </c>
      <c r="R65" s="74">
        <v>122580</v>
      </c>
      <c r="S65" s="2" t="s">
        <v>145</v>
      </c>
      <c r="T65" s="77">
        <f>N65*P65*Q65*R65</f>
        <v>18362349.162000004</v>
      </c>
      <c r="U65" s="83">
        <f>T65</f>
        <v>18362349.162000004</v>
      </c>
      <c r="V65" s="12"/>
    </row>
    <row r="66" spans="9:22" x14ac:dyDescent="0.3">
      <c r="J66" t="s">
        <v>76</v>
      </c>
      <c r="K66" s="43">
        <f t="shared" si="17"/>
        <v>7</v>
      </c>
      <c r="L66" s="2"/>
      <c r="M66" s="2" t="s">
        <v>117</v>
      </c>
      <c r="N66" s="36">
        <f>O35</f>
        <v>881.17000000000019</v>
      </c>
      <c r="O66" s="13">
        <v>0</v>
      </c>
      <c r="P66" s="67">
        <v>0.8</v>
      </c>
      <c r="Q66" s="72">
        <v>0.65</v>
      </c>
      <c r="R66" s="74">
        <v>122580</v>
      </c>
      <c r="S66" s="2" t="s">
        <v>145</v>
      </c>
      <c r="T66" s="77">
        <f>N66*P66*Q66*R66</f>
        <v>56167185.672000013</v>
      </c>
      <c r="U66" s="83">
        <f t="shared" ref="U66:U68" si="18">T66</f>
        <v>56167185.672000013</v>
      </c>
      <c r="V66" s="12"/>
    </row>
    <row r="67" spans="9:22" x14ac:dyDescent="0.3">
      <c r="J67" t="s">
        <v>76</v>
      </c>
      <c r="K67" s="43">
        <f t="shared" si="17"/>
        <v>8</v>
      </c>
      <c r="L67" s="2"/>
      <c r="M67" s="2" t="s">
        <v>146</v>
      </c>
      <c r="N67" s="10">
        <v>0</v>
      </c>
      <c r="O67" s="13">
        <v>0</v>
      </c>
      <c r="P67" s="13">
        <v>0</v>
      </c>
      <c r="Q67" s="6">
        <v>0.03</v>
      </c>
      <c r="R67" s="74">
        <v>74529534.829999998</v>
      </c>
      <c r="S67" s="2" t="s">
        <v>148</v>
      </c>
      <c r="T67" s="77">
        <f>(T65+T66)*0.03</f>
        <v>2235886.0450200005</v>
      </c>
      <c r="U67" s="83">
        <f t="shared" si="18"/>
        <v>2235886.0450200005</v>
      </c>
      <c r="V67" s="12">
        <f>N65*O65*Q65</f>
        <v>0</v>
      </c>
    </row>
    <row r="68" spans="9:22" x14ac:dyDescent="0.3">
      <c r="J68" t="s">
        <v>76</v>
      </c>
      <c r="K68" s="43">
        <f t="shared" si="17"/>
        <v>9</v>
      </c>
      <c r="L68" s="2"/>
      <c r="M68" s="2" t="s">
        <v>147</v>
      </c>
      <c r="N68" s="36">
        <f>O32</f>
        <v>732.95</v>
      </c>
      <c r="O68" s="13">
        <v>0</v>
      </c>
      <c r="P68" s="13">
        <v>0</v>
      </c>
      <c r="Q68" s="6">
        <v>0.5</v>
      </c>
      <c r="R68" s="74">
        <v>122580</v>
      </c>
      <c r="S68" s="2" t="s">
        <v>145</v>
      </c>
      <c r="T68" s="77">
        <f>N68*Q68*R68</f>
        <v>44922505.5</v>
      </c>
      <c r="U68" s="83">
        <f t="shared" si="18"/>
        <v>44922505.5</v>
      </c>
      <c r="V68" s="12">
        <f>V67*R65</f>
        <v>0</v>
      </c>
    </row>
    <row r="69" spans="9:22" x14ac:dyDescent="0.3">
      <c r="J69" t="s">
        <v>76</v>
      </c>
      <c r="K69" s="43">
        <f t="shared" si="17"/>
        <v>10</v>
      </c>
      <c r="L69" s="2"/>
      <c r="M69" s="2" t="s">
        <v>118</v>
      </c>
      <c r="N69" s="36">
        <f>O49</f>
        <v>1582.4445000000001</v>
      </c>
      <c r="O69" s="13">
        <v>0</v>
      </c>
      <c r="P69" s="13">
        <v>0</v>
      </c>
      <c r="Q69" s="6">
        <v>0.5</v>
      </c>
      <c r="R69" s="74">
        <v>122580</v>
      </c>
      <c r="S69" s="2" t="s">
        <v>145</v>
      </c>
      <c r="T69" s="77">
        <f>N69*Q69*R69</f>
        <v>96988023.405000001</v>
      </c>
      <c r="U69" s="83">
        <f>T69/3</f>
        <v>32329341.135000002</v>
      </c>
      <c r="V69" s="12"/>
    </row>
    <row r="70" spans="9:22" x14ac:dyDescent="0.3">
      <c r="K70" s="43">
        <f t="shared" si="17"/>
        <v>11</v>
      </c>
      <c r="L70" s="2"/>
      <c r="M70" s="2" t="s">
        <v>149</v>
      </c>
      <c r="N70" s="10">
        <v>0</v>
      </c>
      <c r="O70" s="13">
        <v>0</v>
      </c>
      <c r="P70" s="13">
        <v>0</v>
      </c>
      <c r="Q70" s="6">
        <v>0.6</v>
      </c>
      <c r="R70" s="74">
        <v>122580</v>
      </c>
      <c r="S70" s="2" t="s">
        <v>145</v>
      </c>
      <c r="T70" s="106">
        <v>0</v>
      </c>
      <c r="U70" s="83">
        <f t="shared" ref="U70:U74" si="19">T70/3</f>
        <v>0</v>
      </c>
      <c r="V70" s="12"/>
    </row>
    <row r="71" spans="9:22" x14ac:dyDescent="0.3">
      <c r="I71" s="73">
        <f>T71/10.764</f>
        <v>19674136.008918621</v>
      </c>
      <c r="J71" t="s">
        <v>76</v>
      </c>
      <c r="K71" s="114">
        <f t="shared" si="17"/>
        <v>12</v>
      </c>
      <c r="L71" s="115"/>
      <c r="M71" s="115" t="s">
        <v>150</v>
      </c>
      <c r="N71" s="116">
        <f>O43</f>
        <v>1245.7200000000003</v>
      </c>
      <c r="O71" s="117">
        <v>0</v>
      </c>
      <c r="P71" s="117">
        <v>0</v>
      </c>
      <c r="Q71" s="118">
        <v>0</v>
      </c>
      <c r="R71" s="119">
        <v>170000</v>
      </c>
      <c r="S71" s="115" t="s">
        <v>145</v>
      </c>
      <c r="T71" s="113">
        <f>N71*R71</f>
        <v>211772400.00000003</v>
      </c>
      <c r="U71" s="83">
        <f>T71</f>
        <v>211772400.00000003</v>
      </c>
      <c r="V71" s="12" t="s">
        <v>207</v>
      </c>
    </row>
    <row r="72" spans="9:22" x14ac:dyDescent="0.3">
      <c r="I72" s="1">
        <f>R71/10.764</f>
        <v>15793.385358602751</v>
      </c>
      <c r="J72" t="s">
        <v>76</v>
      </c>
      <c r="K72" s="114">
        <f t="shared" si="17"/>
        <v>13</v>
      </c>
      <c r="L72" s="115"/>
      <c r="M72" s="115" t="s">
        <v>151</v>
      </c>
      <c r="N72" s="116">
        <v>0</v>
      </c>
      <c r="O72" s="117">
        <v>0</v>
      </c>
      <c r="P72" s="117">
        <v>0</v>
      </c>
      <c r="Q72" s="118">
        <v>0.06</v>
      </c>
      <c r="R72" s="119">
        <v>211772400</v>
      </c>
      <c r="S72" s="115" t="s">
        <v>148</v>
      </c>
      <c r="T72" s="113">
        <f>T71*0.06</f>
        <v>12706344.000000002</v>
      </c>
      <c r="U72" s="83">
        <f>T72</f>
        <v>12706344.000000002</v>
      </c>
      <c r="V72" s="12"/>
    </row>
    <row r="73" spans="9:22" x14ac:dyDescent="0.3">
      <c r="J73" t="s">
        <v>76</v>
      </c>
      <c r="K73" s="43">
        <f t="shared" si="17"/>
        <v>14</v>
      </c>
      <c r="L73" s="2"/>
      <c r="M73" s="2" t="s">
        <v>152</v>
      </c>
      <c r="N73" s="10">
        <f>O43</f>
        <v>1245.7200000000003</v>
      </c>
      <c r="O73" s="13">
        <v>0</v>
      </c>
      <c r="P73" s="13">
        <v>0</v>
      </c>
      <c r="Q73" s="6">
        <v>0.4</v>
      </c>
      <c r="R73" s="74">
        <v>20000</v>
      </c>
      <c r="S73" s="2" t="s">
        <v>145</v>
      </c>
      <c r="T73" s="77">
        <f>N73*Q73*R73</f>
        <v>9965760.0000000019</v>
      </c>
      <c r="U73" s="83">
        <f t="shared" si="19"/>
        <v>3321920.0000000005</v>
      </c>
      <c r="V73" s="12" t="s">
        <v>208</v>
      </c>
    </row>
    <row r="74" spans="9:22" x14ac:dyDescent="0.3">
      <c r="K74" s="43">
        <v>15</v>
      </c>
      <c r="L74" s="2"/>
      <c r="M74" s="8" t="s">
        <v>119</v>
      </c>
      <c r="N74" s="10" t="s">
        <v>148</v>
      </c>
      <c r="O74" s="13" t="s">
        <v>148</v>
      </c>
      <c r="P74" s="13" t="s">
        <v>148</v>
      </c>
      <c r="Q74" s="6" t="s">
        <v>148</v>
      </c>
      <c r="R74" s="74" t="s">
        <v>148</v>
      </c>
      <c r="S74" s="2" t="s">
        <v>148</v>
      </c>
      <c r="T74" s="77">
        <v>0</v>
      </c>
      <c r="U74" s="83">
        <f t="shared" si="19"/>
        <v>0</v>
      </c>
      <c r="V74" s="12"/>
    </row>
    <row r="75" spans="9:22" x14ac:dyDescent="0.3">
      <c r="J75" t="s">
        <v>76</v>
      </c>
      <c r="K75" s="43"/>
      <c r="L75" s="2" t="s">
        <v>86</v>
      </c>
      <c r="M75" s="2" t="s">
        <v>247</v>
      </c>
      <c r="N75" s="10">
        <f>O48</f>
        <v>8310.0600000000013</v>
      </c>
      <c r="O75" s="10">
        <f>N75*10.7639+0.13</f>
        <v>89448.78483400002</v>
      </c>
      <c r="P75" s="13">
        <v>0</v>
      </c>
      <c r="Q75" s="6">
        <v>0</v>
      </c>
      <c r="R75" s="74">
        <v>300</v>
      </c>
      <c r="S75" s="2" t="s">
        <v>145</v>
      </c>
      <c r="T75" s="77">
        <f>R75*N75</f>
        <v>2493018.0000000005</v>
      </c>
      <c r="U75" s="83">
        <f>T75</f>
        <v>2493018.0000000005</v>
      </c>
      <c r="V75" s="12"/>
    </row>
    <row r="76" spans="9:22" x14ac:dyDescent="0.3">
      <c r="J76" t="s">
        <v>76</v>
      </c>
      <c r="K76" s="43"/>
      <c r="L76" s="2" t="s">
        <v>94</v>
      </c>
      <c r="M76" s="2" t="s">
        <v>163</v>
      </c>
      <c r="N76" s="10">
        <f>O48</f>
        <v>8310.0600000000013</v>
      </c>
      <c r="O76" s="10">
        <f t="shared" ref="O76:O77" si="20">N76*10.7639+0.13</f>
        <v>89448.78483400002</v>
      </c>
      <c r="P76" s="13">
        <v>0</v>
      </c>
      <c r="Q76" s="6">
        <v>0</v>
      </c>
      <c r="R76" s="74">
        <v>1</v>
      </c>
      <c r="S76" s="2" t="s">
        <v>112</v>
      </c>
      <c r="T76" s="77">
        <f>R76*O76</f>
        <v>89448.78483400002</v>
      </c>
      <c r="U76" s="83">
        <f t="shared" ref="U76:U98" si="21">T76</f>
        <v>89448.78483400002</v>
      </c>
      <c r="V76" s="12"/>
    </row>
    <row r="77" spans="9:22" x14ac:dyDescent="0.3">
      <c r="J77" t="s">
        <v>76</v>
      </c>
      <c r="K77" s="43"/>
      <c r="L77" s="2" t="s">
        <v>100</v>
      </c>
      <c r="M77" s="2" t="s">
        <v>164</v>
      </c>
      <c r="N77" s="10">
        <f>O48</f>
        <v>8310.0600000000013</v>
      </c>
      <c r="O77" s="10">
        <f t="shared" si="20"/>
        <v>89448.78483400002</v>
      </c>
      <c r="P77" s="13">
        <v>0</v>
      </c>
      <c r="Q77" s="6">
        <v>0</v>
      </c>
      <c r="R77" s="74">
        <v>2</v>
      </c>
      <c r="S77" s="2" t="s">
        <v>112</v>
      </c>
      <c r="T77" s="77">
        <v>45000</v>
      </c>
      <c r="U77" s="83">
        <f t="shared" si="21"/>
        <v>45000</v>
      </c>
      <c r="V77" s="12"/>
    </row>
    <row r="78" spans="9:22" x14ac:dyDescent="0.3">
      <c r="J78" t="s">
        <v>76</v>
      </c>
      <c r="K78" s="43"/>
      <c r="L78" s="2" t="s">
        <v>158</v>
      </c>
      <c r="M78" s="37" t="s">
        <v>165</v>
      </c>
      <c r="N78" s="35">
        <v>8077.51</v>
      </c>
      <c r="O78" s="13">
        <v>0</v>
      </c>
      <c r="P78" s="13">
        <v>0</v>
      </c>
      <c r="Q78" s="6">
        <v>0.04</v>
      </c>
      <c r="R78" s="74">
        <v>122580</v>
      </c>
      <c r="S78" s="2" t="s">
        <v>145</v>
      </c>
      <c r="T78" s="77">
        <f>N78*Q78*R78-14.48</f>
        <v>39605632.552000009</v>
      </c>
      <c r="U78" s="83">
        <f t="shared" si="21"/>
        <v>39605632.552000009</v>
      </c>
      <c r="V78" s="12"/>
    </row>
    <row r="79" spans="9:22" x14ac:dyDescent="0.3">
      <c r="J79" t="s">
        <v>76</v>
      </c>
      <c r="K79" s="43"/>
      <c r="L79" s="2" t="s">
        <v>153</v>
      </c>
      <c r="M79" s="2" t="s">
        <v>120</v>
      </c>
      <c r="N79" s="10">
        <f>O37</f>
        <v>232.55295436799997</v>
      </c>
      <c r="O79" s="13">
        <v>0</v>
      </c>
      <c r="P79" s="13">
        <v>0</v>
      </c>
      <c r="Q79" s="6">
        <v>0.08</v>
      </c>
      <c r="R79" s="74">
        <v>122580</v>
      </c>
      <c r="S79" s="2" t="s">
        <v>145</v>
      </c>
      <c r="T79" s="106">
        <v>0</v>
      </c>
      <c r="U79" s="83">
        <f t="shared" si="21"/>
        <v>0</v>
      </c>
      <c r="V79" s="12"/>
    </row>
    <row r="80" spans="9:22" ht="28.8" x14ac:dyDescent="0.3">
      <c r="J80" t="s">
        <v>76</v>
      </c>
      <c r="K80" s="43"/>
      <c r="L80" s="2" t="s">
        <v>161</v>
      </c>
      <c r="M80" s="37" t="s">
        <v>248</v>
      </c>
      <c r="N80" s="10">
        <f>N13</f>
        <v>1465.9</v>
      </c>
      <c r="O80" s="13">
        <v>0</v>
      </c>
      <c r="P80" s="13">
        <v>0</v>
      </c>
      <c r="Q80" s="6">
        <v>0.01</v>
      </c>
      <c r="R80" s="74">
        <v>122580</v>
      </c>
      <c r="S80" s="2" t="s">
        <v>145</v>
      </c>
      <c r="T80" s="77">
        <f>N80*Q80*R80</f>
        <v>1796900.22</v>
      </c>
      <c r="U80" s="83">
        <f t="shared" si="21"/>
        <v>1796900.22</v>
      </c>
      <c r="V80" s="12"/>
    </row>
    <row r="81" spans="9:23" x14ac:dyDescent="0.3">
      <c r="J81" t="s">
        <v>76</v>
      </c>
      <c r="K81" s="43"/>
      <c r="L81" s="2" t="s">
        <v>162</v>
      </c>
      <c r="M81" s="2" t="s">
        <v>121</v>
      </c>
      <c r="N81" s="35">
        <v>41.02</v>
      </c>
      <c r="O81" s="13">
        <v>0</v>
      </c>
      <c r="P81" s="13">
        <v>0</v>
      </c>
      <c r="Q81" s="6">
        <v>0.02</v>
      </c>
      <c r="R81" s="74">
        <v>122580</v>
      </c>
      <c r="S81" s="2" t="s">
        <v>145</v>
      </c>
      <c r="T81" s="77">
        <f>N81*Q81*R81+6.11</f>
        <v>100570.74200000001</v>
      </c>
      <c r="U81" s="83">
        <f t="shared" si="21"/>
        <v>100570.74200000001</v>
      </c>
      <c r="V81" s="12"/>
    </row>
    <row r="82" spans="9:23" x14ac:dyDescent="0.3">
      <c r="K82" s="43"/>
      <c r="L82" s="2"/>
      <c r="M82" s="11">
        <f>N82*10.7639</f>
        <v>15778.801010000001</v>
      </c>
      <c r="N82" s="10">
        <f>N13</f>
        <v>1465.9</v>
      </c>
      <c r="O82" s="67">
        <v>8310.06</v>
      </c>
      <c r="P82" s="13">
        <v>0</v>
      </c>
      <c r="Q82" s="6">
        <v>232.55</v>
      </c>
      <c r="R82" s="74">
        <v>41.02</v>
      </c>
      <c r="S82" s="2" t="s">
        <v>148</v>
      </c>
      <c r="T82" s="106">
        <v>0</v>
      </c>
      <c r="U82" s="83">
        <f t="shared" si="21"/>
        <v>0</v>
      </c>
      <c r="V82" s="12"/>
    </row>
    <row r="83" spans="9:23" x14ac:dyDescent="0.3">
      <c r="J83" t="s">
        <v>76</v>
      </c>
      <c r="K83" s="43"/>
      <c r="L83" s="2" t="s">
        <v>87</v>
      </c>
      <c r="M83" s="2" t="s">
        <v>249</v>
      </c>
      <c r="N83" s="10">
        <f>O51</f>
        <v>11218.581000000002</v>
      </c>
      <c r="O83" s="13">
        <v>0</v>
      </c>
      <c r="P83" s="13">
        <v>0</v>
      </c>
      <c r="Q83" s="6">
        <v>0.01</v>
      </c>
      <c r="R83" s="74">
        <v>31763</v>
      </c>
      <c r="S83" s="2" t="s">
        <v>145</v>
      </c>
      <c r="T83" s="77">
        <f>N83*Q83*R83</f>
        <v>3563357.8830300006</v>
      </c>
      <c r="U83" s="83">
        <f t="shared" si="21"/>
        <v>3563357.8830300006</v>
      </c>
      <c r="V83" s="12"/>
    </row>
    <row r="84" spans="9:23" x14ac:dyDescent="0.3">
      <c r="K84" s="114"/>
      <c r="L84" s="115" t="s">
        <v>166</v>
      </c>
      <c r="M84" s="115" t="s">
        <v>122</v>
      </c>
      <c r="N84" s="116">
        <v>0</v>
      </c>
      <c r="O84" s="117">
        <v>0</v>
      </c>
      <c r="P84" s="117">
        <v>0</v>
      </c>
      <c r="Q84" s="118">
        <v>0</v>
      </c>
      <c r="R84" s="119">
        <v>0</v>
      </c>
      <c r="S84" s="115" t="s">
        <v>148</v>
      </c>
      <c r="T84" s="113">
        <v>150000000</v>
      </c>
      <c r="U84" s="83">
        <f t="shared" si="21"/>
        <v>150000000</v>
      </c>
      <c r="V84" s="12"/>
    </row>
    <row r="85" spans="9:23" x14ac:dyDescent="0.3">
      <c r="I85" t="s">
        <v>219</v>
      </c>
      <c r="J85" t="s">
        <v>76</v>
      </c>
      <c r="K85" s="43"/>
      <c r="L85" s="2" t="s">
        <v>168</v>
      </c>
      <c r="M85" s="2" t="s">
        <v>123</v>
      </c>
      <c r="N85" s="35">
        <v>1662.01</v>
      </c>
      <c r="O85" s="13">
        <v>0</v>
      </c>
      <c r="P85" s="13">
        <v>0</v>
      </c>
      <c r="Q85" s="6">
        <v>0.25</v>
      </c>
      <c r="R85" s="74">
        <v>122580</v>
      </c>
      <c r="S85" s="2" t="s">
        <v>145</v>
      </c>
      <c r="T85" s="77">
        <f>N85*Q85*R85+61.29</f>
        <v>50932357.740000002</v>
      </c>
      <c r="U85" s="83">
        <f t="shared" si="21"/>
        <v>50932357.740000002</v>
      </c>
      <c r="V85" s="12"/>
    </row>
    <row r="86" spans="9:23" x14ac:dyDescent="0.3">
      <c r="J86" t="s">
        <v>76</v>
      </c>
      <c r="K86" s="43"/>
      <c r="L86" s="2" t="s">
        <v>169</v>
      </c>
      <c r="M86" s="2" t="s">
        <v>250</v>
      </c>
      <c r="N86" s="10">
        <f>O51</f>
        <v>11218.581000000002</v>
      </c>
      <c r="O86" s="13">
        <v>0</v>
      </c>
      <c r="P86" s="13">
        <v>0</v>
      </c>
      <c r="Q86" s="6">
        <v>0</v>
      </c>
      <c r="R86" s="74">
        <v>510</v>
      </c>
      <c r="S86" s="2" t="s">
        <v>145</v>
      </c>
      <c r="T86" s="77">
        <f>N86*R86</f>
        <v>5721476.3100000015</v>
      </c>
      <c r="U86" s="83">
        <f t="shared" si="21"/>
        <v>5721476.3100000015</v>
      </c>
      <c r="V86" s="12"/>
    </row>
    <row r="87" spans="9:23" x14ac:dyDescent="0.3">
      <c r="J87" t="s">
        <v>76</v>
      </c>
      <c r="K87" s="43"/>
      <c r="L87" s="2" t="s">
        <v>167</v>
      </c>
      <c r="M87" s="2" t="s">
        <v>251</v>
      </c>
      <c r="N87" s="36">
        <f>O35</f>
        <v>881.17000000000019</v>
      </c>
      <c r="O87" s="13">
        <v>0</v>
      </c>
      <c r="P87" s="13">
        <v>0</v>
      </c>
      <c r="Q87" s="6">
        <v>0.05</v>
      </c>
      <c r="R87" s="74">
        <v>31763</v>
      </c>
      <c r="S87" s="2" t="s">
        <v>145</v>
      </c>
      <c r="T87" s="77">
        <f>N87*Q87*R87</f>
        <v>1399430.1355000003</v>
      </c>
      <c r="U87" s="83">
        <f t="shared" si="21"/>
        <v>1399430.1355000003</v>
      </c>
      <c r="V87" s="12"/>
    </row>
    <row r="88" spans="9:23" x14ac:dyDescent="0.3">
      <c r="J88" t="s">
        <v>76</v>
      </c>
      <c r="K88" s="43"/>
      <c r="L88" s="2" t="s">
        <v>154</v>
      </c>
      <c r="M88" s="2" t="s">
        <v>252</v>
      </c>
      <c r="N88" s="10">
        <f>O51</f>
        <v>11218.581000000002</v>
      </c>
      <c r="O88" s="13">
        <v>0</v>
      </c>
      <c r="P88" s="13">
        <v>0</v>
      </c>
      <c r="Q88" s="6">
        <v>0</v>
      </c>
      <c r="R88" s="74">
        <v>160</v>
      </c>
      <c r="S88" s="2" t="s">
        <v>145</v>
      </c>
      <c r="T88" s="77">
        <f>N88*R88</f>
        <v>1794972.9600000004</v>
      </c>
      <c r="U88" s="83">
        <f t="shared" si="21"/>
        <v>1794972.9600000004</v>
      </c>
      <c r="V88" s="12"/>
    </row>
    <row r="89" spans="9:23" x14ac:dyDescent="0.3">
      <c r="J89" t="s">
        <v>76</v>
      </c>
      <c r="K89" s="43"/>
      <c r="L89" s="2" t="s">
        <v>157</v>
      </c>
      <c r="M89" s="2" t="s">
        <v>253</v>
      </c>
      <c r="N89" s="10">
        <f>O51</f>
        <v>11218.581000000002</v>
      </c>
      <c r="O89" s="13">
        <v>0</v>
      </c>
      <c r="P89" s="13">
        <v>0</v>
      </c>
      <c r="Q89" s="6">
        <v>0</v>
      </c>
      <c r="R89" s="74">
        <v>16</v>
      </c>
      <c r="S89" s="2" t="s">
        <v>145</v>
      </c>
      <c r="T89" s="77">
        <f>N89*R89</f>
        <v>179497.29600000003</v>
      </c>
      <c r="U89" s="83">
        <f t="shared" si="21"/>
        <v>179497.29600000003</v>
      </c>
      <c r="V89" s="12"/>
    </row>
    <row r="90" spans="9:23" ht="28.8" x14ac:dyDescent="0.3">
      <c r="J90" t="s">
        <v>76</v>
      </c>
      <c r="K90" s="43"/>
      <c r="L90" s="2" t="s">
        <v>170</v>
      </c>
      <c r="M90" s="37" t="s">
        <v>254</v>
      </c>
      <c r="N90" s="10">
        <f>O6</f>
        <v>1538.9</v>
      </c>
      <c r="O90" s="13">
        <v>0</v>
      </c>
      <c r="P90" s="61">
        <v>3.5200000000000002E-2</v>
      </c>
      <c r="Q90" s="6">
        <v>3</v>
      </c>
      <c r="R90" s="74">
        <v>122580</v>
      </c>
      <c r="S90" s="63" t="s">
        <v>174</v>
      </c>
      <c r="T90" s="106">
        <f>N90*P90*Q90*R90-11318.3</f>
        <v>19908892.727200001</v>
      </c>
      <c r="U90" s="83">
        <f t="shared" si="21"/>
        <v>19908892.727200001</v>
      </c>
      <c r="V90" s="12"/>
    </row>
    <row r="91" spans="9:23" x14ac:dyDescent="0.3">
      <c r="I91" t="s">
        <v>220</v>
      </c>
      <c r="J91" t="s">
        <v>76</v>
      </c>
      <c r="K91" s="43"/>
      <c r="L91" s="2" t="s">
        <v>159</v>
      </c>
      <c r="M91" s="2" t="s">
        <v>124</v>
      </c>
      <c r="N91" s="35">
        <v>2859.84</v>
      </c>
      <c r="O91" s="13">
        <v>0</v>
      </c>
      <c r="P91" s="13">
        <v>0</v>
      </c>
      <c r="Q91" s="6">
        <v>0.04</v>
      </c>
      <c r="R91" s="74">
        <v>122580</v>
      </c>
      <c r="S91" s="2" t="s">
        <v>145</v>
      </c>
      <c r="T91" s="77">
        <f>N91*Q91*R91</f>
        <v>14022367.488</v>
      </c>
      <c r="U91" s="83">
        <f t="shared" si="21"/>
        <v>14022367.488</v>
      </c>
      <c r="V91" s="12"/>
    </row>
    <row r="92" spans="9:23" x14ac:dyDescent="0.3">
      <c r="J92" t="s">
        <v>76</v>
      </c>
      <c r="K92" s="43"/>
      <c r="L92" s="2" t="s">
        <v>171</v>
      </c>
      <c r="M92" s="2" t="s">
        <v>175</v>
      </c>
      <c r="N92" s="10">
        <v>0</v>
      </c>
      <c r="O92" s="13">
        <v>0</v>
      </c>
      <c r="P92" s="13">
        <v>0</v>
      </c>
      <c r="Q92" s="6">
        <v>0</v>
      </c>
      <c r="R92" s="74">
        <v>0</v>
      </c>
      <c r="S92" s="2" t="s">
        <v>145</v>
      </c>
      <c r="T92" s="106">
        <v>1000000</v>
      </c>
      <c r="U92" s="83">
        <f t="shared" si="21"/>
        <v>1000000</v>
      </c>
      <c r="V92" s="12">
        <v>19908892.73</v>
      </c>
      <c r="W92" s="62">
        <v>11318.3</v>
      </c>
    </row>
    <row r="93" spans="9:23" x14ac:dyDescent="0.3">
      <c r="J93" t="s">
        <v>76</v>
      </c>
      <c r="K93" s="43"/>
      <c r="L93" s="2" t="s">
        <v>155</v>
      </c>
      <c r="M93" s="2" t="s">
        <v>125</v>
      </c>
      <c r="N93" s="35">
        <v>332.4</v>
      </c>
      <c r="O93" s="13">
        <v>0</v>
      </c>
      <c r="P93" s="13">
        <v>0</v>
      </c>
      <c r="Q93" s="6">
        <v>0.04</v>
      </c>
      <c r="R93" s="74">
        <v>122580</v>
      </c>
      <c r="S93" s="2" t="s">
        <v>145</v>
      </c>
      <c r="T93" s="77">
        <f>N93*Q93*R93+11.77</f>
        <v>1629835.45</v>
      </c>
      <c r="U93" s="83">
        <f t="shared" si="21"/>
        <v>1629835.45</v>
      </c>
      <c r="V93" s="12"/>
    </row>
    <row r="94" spans="9:23" x14ac:dyDescent="0.3">
      <c r="J94" t="s">
        <v>76</v>
      </c>
      <c r="K94" s="43"/>
      <c r="L94" s="2" t="s">
        <v>156</v>
      </c>
      <c r="M94" s="2" t="s">
        <v>126</v>
      </c>
      <c r="N94" s="10">
        <v>0</v>
      </c>
      <c r="O94" s="13">
        <v>0</v>
      </c>
      <c r="P94" s="13">
        <v>0</v>
      </c>
      <c r="Q94" s="6">
        <v>0</v>
      </c>
      <c r="R94" s="74">
        <v>0</v>
      </c>
      <c r="S94" s="2" t="s">
        <v>148</v>
      </c>
      <c r="T94" s="106">
        <v>1000000</v>
      </c>
      <c r="U94" s="83">
        <f t="shared" si="21"/>
        <v>1000000</v>
      </c>
      <c r="V94" s="12"/>
    </row>
    <row r="95" spans="9:23" x14ac:dyDescent="0.3">
      <c r="J95" t="s">
        <v>76</v>
      </c>
      <c r="K95" s="43"/>
      <c r="L95" s="2" t="s">
        <v>160</v>
      </c>
      <c r="M95" s="2" t="s">
        <v>255</v>
      </c>
      <c r="N95" s="10">
        <f>O51</f>
        <v>11218.581000000002</v>
      </c>
      <c r="O95" s="13">
        <v>0</v>
      </c>
      <c r="P95" s="13">
        <v>0</v>
      </c>
      <c r="Q95" s="6">
        <v>0</v>
      </c>
      <c r="R95" s="74">
        <v>41</v>
      </c>
      <c r="S95" s="2" t="s">
        <v>145</v>
      </c>
      <c r="T95" s="77">
        <f>N95*R95</f>
        <v>459961.82100000005</v>
      </c>
      <c r="U95" s="83">
        <f t="shared" si="21"/>
        <v>459961.82100000005</v>
      </c>
      <c r="V95" s="12"/>
    </row>
    <row r="96" spans="9:23" x14ac:dyDescent="0.3">
      <c r="J96" t="s">
        <v>76</v>
      </c>
      <c r="K96" s="43"/>
      <c r="L96" s="2" t="s">
        <v>172</v>
      </c>
      <c r="M96" s="2" t="s">
        <v>176</v>
      </c>
      <c r="N96" s="10">
        <v>0</v>
      </c>
      <c r="O96" s="13">
        <v>0</v>
      </c>
      <c r="P96" s="13">
        <v>0</v>
      </c>
      <c r="Q96" s="6">
        <v>0</v>
      </c>
      <c r="R96" s="74">
        <v>0</v>
      </c>
      <c r="S96" s="2" t="s">
        <v>148</v>
      </c>
      <c r="T96" s="106">
        <v>1200000</v>
      </c>
      <c r="U96" s="83">
        <f t="shared" si="21"/>
        <v>1200000</v>
      </c>
      <c r="V96" s="12"/>
    </row>
    <row r="97" spans="9:22" x14ac:dyDescent="0.3">
      <c r="J97" t="s">
        <v>76</v>
      </c>
      <c r="K97" s="43"/>
      <c r="L97" s="2" t="s">
        <v>173</v>
      </c>
      <c r="M97" s="2" t="s">
        <v>127</v>
      </c>
      <c r="N97" s="10">
        <v>0</v>
      </c>
      <c r="O97" s="13">
        <v>0</v>
      </c>
      <c r="P97" s="13">
        <v>0</v>
      </c>
      <c r="Q97" s="6">
        <v>0</v>
      </c>
      <c r="R97" s="74">
        <v>0</v>
      </c>
      <c r="S97" s="2" t="s">
        <v>148</v>
      </c>
      <c r="T97" s="106">
        <v>500000</v>
      </c>
      <c r="U97" s="83">
        <f t="shared" si="21"/>
        <v>500000</v>
      </c>
      <c r="V97" s="12"/>
    </row>
    <row r="98" spans="9:22" x14ac:dyDescent="0.3">
      <c r="J98" t="s">
        <v>76</v>
      </c>
      <c r="K98" s="43">
        <v>16</v>
      </c>
      <c r="L98" s="2"/>
      <c r="M98" s="2" t="s">
        <v>177</v>
      </c>
      <c r="N98" s="10">
        <v>0</v>
      </c>
      <c r="O98" s="13">
        <v>0</v>
      </c>
      <c r="P98" s="13">
        <v>0</v>
      </c>
      <c r="Q98" s="6">
        <v>0</v>
      </c>
      <c r="R98" s="74">
        <v>0</v>
      </c>
      <c r="S98" s="2" t="s">
        <v>148</v>
      </c>
      <c r="T98" s="77">
        <v>0</v>
      </c>
      <c r="U98" s="83">
        <f t="shared" si="21"/>
        <v>0</v>
      </c>
      <c r="V98" s="12"/>
    </row>
    <row r="99" spans="9:22" x14ac:dyDescent="0.3">
      <c r="J99" t="s">
        <v>76</v>
      </c>
      <c r="K99" s="114"/>
      <c r="L99" s="115" t="s">
        <v>86</v>
      </c>
      <c r="M99" s="115" t="s">
        <v>178</v>
      </c>
      <c r="N99" s="116">
        <v>0</v>
      </c>
      <c r="O99" s="117">
        <v>0</v>
      </c>
      <c r="P99" s="117">
        <v>0</v>
      </c>
      <c r="Q99" s="118">
        <f>33+4</f>
        <v>37</v>
      </c>
      <c r="R99" s="119">
        <v>50000</v>
      </c>
      <c r="S99" s="115" t="s">
        <v>143</v>
      </c>
      <c r="T99" s="113">
        <f>Q99*R99</f>
        <v>1850000</v>
      </c>
      <c r="U99" s="83">
        <f>T99/3</f>
        <v>616666.66666666663</v>
      </c>
      <c r="V99" s="12" t="s">
        <v>189</v>
      </c>
    </row>
    <row r="100" spans="9:22" x14ac:dyDescent="0.3">
      <c r="I100" t="s">
        <v>221</v>
      </c>
      <c r="J100" t="s">
        <v>76</v>
      </c>
      <c r="K100" s="43"/>
      <c r="L100" s="2" t="s">
        <v>94</v>
      </c>
      <c r="M100" s="2" t="s">
        <v>128</v>
      </c>
      <c r="N100" s="10">
        <v>0</v>
      </c>
      <c r="O100" s="13">
        <v>0</v>
      </c>
      <c r="P100" s="13">
        <v>0</v>
      </c>
      <c r="Q100" s="6">
        <v>0.06</v>
      </c>
      <c r="R100" s="74">
        <v>0</v>
      </c>
      <c r="S100" s="2" t="s">
        <v>145</v>
      </c>
      <c r="T100" s="106">
        <v>15000000</v>
      </c>
      <c r="U100" s="83">
        <f t="shared" ref="U100:U110" si="22">T100/3</f>
        <v>5000000</v>
      </c>
      <c r="V100" s="12">
        <f>T100/Q100</f>
        <v>250000000</v>
      </c>
    </row>
    <row r="101" spans="9:22" x14ac:dyDescent="0.3">
      <c r="K101" s="43">
        <v>17</v>
      </c>
      <c r="L101" s="2"/>
      <c r="M101" s="2" t="s">
        <v>257</v>
      </c>
      <c r="N101" s="10">
        <v>0</v>
      </c>
      <c r="O101" s="10">
        <v>0</v>
      </c>
      <c r="P101" s="13">
        <v>0</v>
      </c>
      <c r="Q101" s="6">
        <v>0</v>
      </c>
      <c r="R101" s="74">
        <v>0</v>
      </c>
      <c r="S101" s="2" t="s">
        <v>148</v>
      </c>
      <c r="T101" s="106">
        <f>100000000+20000000</f>
        <v>120000000</v>
      </c>
      <c r="U101" s="83">
        <f>T101/3</f>
        <v>40000000</v>
      </c>
      <c r="V101" s="12">
        <f>T100/Q100</f>
        <v>250000000</v>
      </c>
    </row>
    <row r="102" spans="9:22" x14ac:dyDescent="0.3">
      <c r="K102" s="43">
        <v>18</v>
      </c>
      <c r="L102" s="2"/>
      <c r="M102" s="2" t="s">
        <v>129</v>
      </c>
      <c r="N102" s="10">
        <v>0</v>
      </c>
      <c r="O102" s="68">
        <f>P20+0.14</f>
        <v>17617.996380599998</v>
      </c>
      <c r="P102" s="13">
        <v>0</v>
      </c>
      <c r="Q102" s="6">
        <v>0</v>
      </c>
      <c r="R102" s="74">
        <v>1500</v>
      </c>
      <c r="S102" s="2" t="s">
        <v>112</v>
      </c>
      <c r="T102" s="173">
        <f>O102*R102</f>
        <v>26426994.570899997</v>
      </c>
      <c r="U102" s="83">
        <f t="shared" si="22"/>
        <v>8808998.190299999</v>
      </c>
      <c r="V102" s="12"/>
    </row>
    <row r="103" spans="9:22" x14ac:dyDescent="0.3">
      <c r="K103" s="43">
        <v>19</v>
      </c>
      <c r="L103" s="2"/>
      <c r="M103" s="2" t="s">
        <v>130</v>
      </c>
      <c r="N103" s="10">
        <f>O18</f>
        <v>1498.33</v>
      </c>
      <c r="O103" s="10">
        <f>N103*10.7639+0.13</f>
        <v>16128.004286999998</v>
      </c>
      <c r="P103" s="13">
        <v>0</v>
      </c>
      <c r="Q103" s="6">
        <v>36</v>
      </c>
      <c r="R103" s="119">
        <v>150</v>
      </c>
      <c r="S103" s="2" t="s">
        <v>112</v>
      </c>
      <c r="T103" s="173">
        <f>O103*Q103*R103</f>
        <v>87091223.149799988</v>
      </c>
      <c r="U103" s="83">
        <f t="shared" si="22"/>
        <v>29030407.716599997</v>
      </c>
      <c r="V103" s="12"/>
    </row>
    <row r="104" spans="9:22" x14ac:dyDescent="0.3">
      <c r="I104" t="s">
        <v>222</v>
      </c>
      <c r="K104" s="43"/>
      <c r="L104" s="2"/>
      <c r="M104" s="2" t="s">
        <v>54</v>
      </c>
      <c r="N104" s="10">
        <f>O19</f>
        <v>138.42400000000001</v>
      </c>
      <c r="O104" s="10">
        <f>N104*10.7639+0.02</f>
        <v>1490.0020936000001</v>
      </c>
      <c r="P104" s="13">
        <v>0</v>
      </c>
      <c r="Q104" s="6">
        <v>36</v>
      </c>
      <c r="R104" s="74">
        <v>300</v>
      </c>
      <c r="S104" s="2" t="s">
        <v>112</v>
      </c>
      <c r="T104" s="173">
        <f>O104*Q104*R104</f>
        <v>16092022.610880001</v>
      </c>
      <c r="U104" s="83">
        <f t="shared" si="22"/>
        <v>5364007.5369600002</v>
      </c>
      <c r="V104" s="12"/>
    </row>
    <row r="105" spans="9:22" x14ac:dyDescent="0.3">
      <c r="K105" s="43">
        <v>20</v>
      </c>
      <c r="L105" s="2"/>
      <c r="M105" s="2" t="s">
        <v>131</v>
      </c>
      <c r="N105" s="10">
        <v>0</v>
      </c>
      <c r="O105" s="68">
        <f>P20+0.14</f>
        <v>17617.996380599998</v>
      </c>
      <c r="P105" s="13">
        <v>0</v>
      </c>
      <c r="Q105" s="35">
        <v>1</v>
      </c>
      <c r="R105" s="102">
        <v>150</v>
      </c>
      <c r="S105" s="2" t="s">
        <v>112</v>
      </c>
      <c r="T105" s="106">
        <f>O105*Q105*R105</f>
        <v>2642699.4570899997</v>
      </c>
      <c r="U105" s="83">
        <f t="shared" si="22"/>
        <v>880899.8190299999</v>
      </c>
      <c r="V105" s="64">
        <v>1498.327759</v>
      </c>
    </row>
    <row r="106" spans="9:22" x14ac:dyDescent="0.3">
      <c r="I106" t="s">
        <v>196</v>
      </c>
      <c r="K106" s="43">
        <v>21</v>
      </c>
      <c r="L106" s="2"/>
      <c r="M106" s="2" t="s">
        <v>179</v>
      </c>
      <c r="N106" s="13">
        <v>0</v>
      </c>
      <c r="O106" s="13">
        <v>0</v>
      </c>
      <c r="P106" s="13">
        <v>0</v>
      </c>
      <c r="Q106" s="10">
        <v>0</v>
      </c>
      <c r="R106" s="104">
        <v>0</v>
      </c>
      <c r="S106" s="2" t="s">
        <v>148</v>
      </c>
      <c r="T106" s="77">
        <v>70000000</v>
      </c>
      <c r="U106" s="83">
        <f>T116*0.04</f>
        <v>121907401.21734518</v>
      </c>
      <c r="V106" s="65">
        <v>138.42437760000001</v>
      </c>
    </row>
    <row r="107" spans="9:22" x14ac:dyDescent="0.3">
      <c r="K107" s="43">
        <v>22</v>
      </c>
      <c r="L107" s="2"/>
      <c r="M107" s="2" t="s">
        <v>180</v>
      </c>
      <c r="N107" s="10">
        <v>0</v>
      </c>
      <c r="O107" s="10">
        <v>0</v>
      </c>
      <c r="P107" s="10">
        <v>0</v>
      </c>
      <c r="Q107" s="10">
        <v>37</v>
      </c>
      <c r="R107" s="74">
        <v>30000</v>
      </c>
      <c r="S107" s="2" t="s">
        <v>143</v>
      </c>
      <c r="T107" s="173">
        <f>Q107*R107</f>
        <v>1110000</v>
      </c>
      <c r="U107" s="83">
        <f t="shared" si="22"/>
        <v>370000</v>
      </c>
      <c r="V107" s="12"/>
    </row>
    <row r="108" spans="9:22" x14ac:dyDescent="0.3">
      <c r="K108" s="43">
        <v>23</v>
      </c>
      <c r="L108" s="2"/>
      <c r="M108" s="2" t="s">
        <v>132</v>
      </c>
      <c r="N108" s="10">
        <f>O30</f>
        <v>2373.2905981666663</v>
      </c>
      <c r="O108" s="10">
        <v>0</v>
      </c>
      <c r="P108" s="10">
        <v>0</v>
      </c>
      <c r="Q108" s="10">
        <v>0.05</v>
      </c>
      <c r="R108" s="139">
        <v>238440</v>
      </c>
      <c r="S108" s="2" t="s">
        <v>145</v>
      </c>
      <c r="T108" s="177">
        <f>N108*Q108*R108</f>
        <v>28294370.511342999</v>
      </c>
      <c r="U108" s="83">
        <f t="shared" si="22"/>
        <v>9431456.8371143322</v>
      </c>
      <c r="V108" s="12" t="s">
        <v>256</v>
      </c>
    </row>
    <row r="109" spans="9:22" x14ac:dyDescent="0.3">
      <c r="K109" s="43">
        <v>24</v>
      </c>
      <c r="L109" s="5"/>
      <c r="M109" s="5" t="s">
        <v>133</v>
      </c>
      <c r="N109" s="11">
        <v>0</v>
      </c>
      <c r="O109" s="11">
        <v>0</v>
      </c>
      <c r="P109" s="11">
        <v>0</v>
      </c>
      <c r="Q109" s="11">
        <v>0</v>
      </c>
      <c r="R109" s="140">
        <v>0</v>
      </c>
      <c r="S109" s="5" t="s">
        <v>148</v>
      </c>
      <c r="T109" s="108">
        <v>150000000</v>
      </c>
      <c r="U109" s="83">
        <v>0</v>
      </c>
      <c r="V109" s="12"/>
    </row>
    <row r="110" spans="9:22" x14ac:dyDescent="0.3">
      <c r="K110" s="43"/>
      <c r="L110" s="2"/>
      <c r="M110" s="2"/>
      <c r="N110" s="10"/>
      <c r="O110" s="10"/>
      <c r="P110" s="10"/>
      <c r="Q110" s="10"/>
      <c r="R110" s="74"/>
      <c r="S110" s="2"/>
      <c r="T110" s="77"/>
      <c r="U110" s="83">
        <f t="shared" si="22"/>
        <v>0</v>
      </c>
      <c r="V110" s="12"/>
    </row>
    <row r="111" spans="9:22" x14ac:dyDescent="0.3">
      <c r="K111" s="43"/>
      <c r="L111" s="2"/>
      <c r="M111" s="5" t="s">
        <v>134</v>
      </c>
      <c r="N111" s="10">
        <v>0</v>
      </c>
      <c r="O111" s="10">
        <v>0</v>
      </c>
      <c r="P111" s="10">
        <v>0</v>
      </c>
      <c r="Q111" s="10">
        <v>0</v>
      </c>
      <c r="R111" s="74">
        <v>0</v>
      </c>
      <c r="S111" s="2" t="s">
        <v>148</v>
      </c>
      <c r="T111" s="107">
        <f>SUM(T60:T110)</f>
        <v>1933139045.140013</v>
      </c>
      <c r="U111" s="100">
        <f>SUM(U60:U110)</f>
        <v>1122026676.5897391</v>
      </c>
      <c r="V111" s="12"/>
    </row>
    <row r="112" spans="9:22" x14ac:dyDescent="0.3">
      <c r="K112" s="43"/>
      <c r="L112" s="2"/>
      <c r="M112" s="8" t="s">
        <v>135</v>
      </c>
      <c r="N112" s="10">
        <v>0</v>
      </c>
      <c r="O112" s="10">
        <v>0</v>
      </c>
      <c r="P112" s="10">
        <v>0</v>
      </c>
      <c r="Q112" s="10">
        <v>0</v>
      </c>
      <c r="R112" s="74">
        <v>0</v>
      </c>
      <c r="S112" s="2" t="s">
        <v>148</v>
      </c>
      <c r="T112" s="77">
        <v>0</v>
      </c>
      <c r="U112" s="83"/>
      <c r="V112" s="12"/>
    </row>
    <row r="113" spans="9:22" x14ac:dyDescent="0.3">
      <c r="I113">
        <v>4965.5557110909103</v>
      </c>
      <c r="K113" s="43"/>
      <c r="L113" s="2" t="s">
        <v>86</v>
      </c>
      <c r="M113" s="2" t="s">
        <v>136</v>
      </c>
      <c r="N113" s="10">
        <f>O55</f>
        <v>4965.5557110909103</v>
      </c>
      <c r="O113" s="10">
        <f>N113*10.7639+0.07</f>
        <v>53448.815118611448</v>
      </c>
      <c r="P113" s="10">
        <v>0</v>
      </c>
      <c r="Q113" s="10">
        <v>0</v>
      </c>
      <c r="R113" s="74">
        <v>55000</v>
      </c>
      <c r="S113" s="2" t="s">
        <v>142</v>
      </c>
      <c r="T113" s="77">
        <f>O113*R113+198.91</f>
        <v>2939685030.4336295</v>
      </c>
      <c r="U113" s="83">
        <f>O113*41000+198.91</f>
        <v>2191401618.7730694</v>
      </c>
      <c r="V113" s="12"/>
    </row>
    <row r="114" spans="9:22" x14ac:dyDescent="0.3">
      <c r="K114" s="43"/>
      <c r="L114" s="2" t="s">
        <v>94</v>
      </c>
      <c r="M114" s="2" t="s">
        <v>137</v>
      </c>
      <c r="N114" s="10">
        <v>0</v>
      </c>
      <c r="O114" s="10">
        <v>0</v>
      </c>
      <c r="P114" s="10">
        <v>0</v>
      </c>
      <c r="Q114" s="10">
        <v>0</v>
      </c>
      <c r="R114" s="74">
        <v>50000</v>
      </c>
      <c r="S114" s="2" t="s">
        <v>148</v>
      </c>
      <c r="T114" s="106">
        <v>0</v>
      </c>
      <c r="U114" s="62"/>
      <c r="V114" s="12"/>
    </row>
    <row r="115" spans="9:22" x14ac:dyDescent="0.3">
      <c r="K115" s="43"/>
      <c r="L115" s="2" t="s">
        <v>100</v>
      </c>
      <c r="M115" s="2" t="s">
        <v>138</v>
      </c>
      <c r="N115" s="10">
        <v>0</v>
      </c>
      <c r="O115" s="10">
        <v>0</v>
      </c>
      <c r="P115" s="10">
        <v>0</v>
      </c>
      <c r="Q115" s="2">
        <v>90</v>
      </c>
      <c r="R115" s="74">
        <v>1200000</v>
      </c>
      <c r="S115" s="2" t="s">
        <v>143</v>
      </c>
      <c r="T115" s="77">
        <f>Q115*R115</f>
        <v>108000000</v>
      </c>
      <c r="U115" s="83">
        <f>T115</f>
        <v>108000000</v>
      </c>
      <c r="V115" s="12" t="s">
        <v>223</v>
      </c>
    </row>
    <row r="116" spans="9:22" x14ac:dyDescent="0.3">
      <c r="K116" s="43"/>
      <c r="L116" s="2"/>
      <c r="M116" s="5" t="s">
        <v>139</v>
      </c>
      <c r="N116" s="10"/>
      <c r="O116" s="10"/>
      <c r="P116" s="10"/>
      <c r="Q116" s="2"/>
      <c r="R116" s="74"/>
      <c r="S116" s="2"/>
      <c r="T116" s="108">
        <f>T113+T114+T115</f>
        <v>3047685030.4336295</v>
      </c>
      <c r="U116" s="23">
        <f>U113+U115</f>
        <v>2299401618.7730694</v>
      </c>
      <c r="V116" s="12"/>
    </row>
    <row r="117" spans="9:22" ht="15.6" x14ac:dyDescent="0.3">
      <c r="K117" s="43"/>
      <c r="L117" s="2"/>
      <c r="M117" s="5" t="s">
        <v>140</v>
      </c>
      <c r="N117" s="10"/>
      <c r="O117" s="10"/>
      <c r="P117" s="10"/>
      <c r="Q117" s="2"/>
      <c r="R117" s="74"/>
      <c r="S117" s="2"/>
      <c r="T117" s="109">
        <f>T116-T111</f>
        <v>1114545985.2936165</v>
      </c>
      <c r="U117" s="84">
        <f>U116-T111</f>
        <v>366262573.6330564</v>
      </c>
      <c r="V117" s="12"/>
    </row>
    <row r="118" spans="9:22" x14ac:dyDescent="0.3">
      <c r="K118" s="43"/>
      <c r="L118" s="2"/>
      <c r="M118" s="2"/>
      <c r="N118" s="10"/>
      <c r="O118" s="10"/>
      <c r="P118" s="10"/>
      <c r="Q118" s="2"/>
      <c r="R118" s="74"/>
      <c r="S118" s="2"/>
      <c r="T118" s="77">
        <f>T117/10000000</f>
        <v>111.45459852936165</v>
      </c>
      <c r="U118" s="77">
        <f>U117/10000000</f>
        <v>36.626257363305641</v>
      </c>
      <c r="V118" s="12"/>
    </row>
    <row r="119" spans="9:22" x14ac:dyDescent="0.3">
      <c r="K119" s="85"/>
      <c r="L119" s="86"/>
      <c r="M119" s="86"/>
      <c r="N119" s="87"/>
      <c r="O119" s="87"/>
      <c r="P119" s="87"/>
      <c r="Q119" s="86"/>
      <c r="R119" s="105"/>
      <c r="S119" s="86"/>
      <c r="T119" s="110"/>
      <c r="U119" s="83"/>
      <c r="V119" s="12"/>
    </row>
    <row r="120" spans="9:22" x14ac:dyDescent="0.3">
      <c r="K120" s="85"/>
      <c r="L120" s="86"/>
      <c r="M120" s="88" t="s">
        <v>204</v>
      </c>
      <c r="N120" s="87"/>
      <c r="O120" s="87"/>
      <c r="P120" s="87"/>
      <c r="Q120" s="86"/>
      <c r="R120" s="105"/>
      <c r="S120" s="86"/>
      <c r="T120" s="111">
        <f>U111*12%</f>
        <v>134643201.19076869</v>
      </c>
      <c r="U120" s="83">
        <v>899229277.61255264</v>
      </c>
      <c r="V120" s="12"/>
    </row>
    <row r="121" spans="9:22" ht="15" thickBot="1" x14ac:dyDescent="0.35">
      <c r="K121" s="47"/>
      <c r="L121" s="48"/>
      <c r="M121" s="48"/>
      <c r="N121" s="54"/>
      <c r="O121" s="54"/>
      <c r="P121" s="54"/>
      <c r="Q121" s="48"/>
      <c r="R121" s="89"/>
      <c r="S121" s="48"/>
      <c r="T121" s="112">
        <v>133784520.69030072</v>
      </c>
      <c r="U121" s="83">
        <v>845400100.69228649</v>
      </c>
      <c r="V121" s="12">
        <f>U120-U121</f>
        <v>53829176.920266151</v>
      </c>
    </row>
    <row r="122" spans="9:22" x14ac:dyDescent="0.3">
      <c r="S122" s="12"/>
      <c r="U122" s="12"/>
      <c r="V122" s="12">
        <f>V121/10000000</f>
        <v>5.3829176920266155</v>
      </c>
    </row>
    <row r="123" spans="9:22" x14ac:dyDescent="0.3">
      <c r="M123" t="s">
        <v>181</v>
      </c>
      <c r="S123" s="12"/>
      <c r="T123" s="73">
        <f>T117/3</f>
        <v>371515328.43120551</v>
      </c>
      <c r="U123" s="12"/>
      <c r="V123" s="12"/>
    </row>
    <row r="124" spans="9:22" x14ac:dyDescent="0.3">
      <c r="M124" t="s">
        <v>182</v>
      </c>
      <c r="S124" s="12"/>
      <c r="T124" s="122">
        <f>T123/U111</f>
        <v>0.33111095857397999</v>
      </c>
      <c r="U124" s="12"/>
      <c r="V124" s="12"/>
    </row>
    <row r="125" spans="9:22" x14ac:dyDescent="0.3">
      <c r="M125" t="s">
        <v>210</v>
      </c>
      <c r="S125" s="12"/>
      <c r="U125" s="12"/>
      <c r="V125" s="12"/>
    </row>
    <row r="126" spans="9:22" x14ac:dyDescent="0.3">
      <c r="M126" t="s">
        <v>183</v>
      </c>
      <c r="S126" s="12"/>
      <c r="U126" s="12"/>
    </row>
    <row r="127" spans="9:22" x14ac:dyDescent="0.3">
      <c r="S127" s="12"/>
      <c r="U127" s="12"/>
    </row>
    <row r="128" spans="9:22" x14ac:dyDescent="0.3">
      <c r="S128" s="12"/>
      <c r="U128" s="12"/>
    </row>
    <row r="129" spans="19:21" x14ac:dyDescent="0.3">
      <c r="S129" s="12"/>
      <c r="U129" s="12"/>
    </row>
    <row r="130" spans="19:21" x14ac:dyDescent="0.3">
      <c r="U130" s="12"/>
    </row>
    <row r="1048576" spans="10:10" x14ac:dyDescent="0.3">
      <c r="J1048576" t="s">
        <v>76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C080-E017-4A76-A55D-EBBE8772C028}">
  <dimension ref="B2:H38"/>
  <sheetViews>
    <sheetView workbookViewId="0"/>
    <sheetView workbookViewId="1"/>
  </sheetViews>
  <sheetFormatPr defaultRowHeight="14.4" x14ac:dyDescent="0.3"/>
  <cols>
    <col min="2" max="2" width="37.5546875" bestFit="1" customWidth="1"/>
    <col min="3" max="3" width="15.5546875" style="12" bestFit="1" customWidth="1"/>
    <col min="4" max="4" width="10.33203125" style="12" bestFit="1" customWidth="1"/>
    <col min="5" max="5" width="15.44140625" style="73" bestFit="1" customWidth="1"/>
    <col min="6" max="6" width="14.5546875" style="12" bestFit="1" customWidth="1"/>
    <col min="7" max="7" width="17.109375" style="12" bestFit="1" customWidth="1"/>
    <col min="8" max="8" width="17.109375" bestFit="1" customWidth="1"/>
  </cols>
  <sheetData>
    <row r="2" spans="2:8" ht="15" thickBot="1" x14ac:dyDescent="0.35">
      <c r="B2" s="4" t="s">
        <v>192</v>
      </c>
    </row>
    <row r="3" spans="2:8" ht="15" thickBot="1" x14ac:dyDescent="0.35">
      <c r="B3" s="93" t="s">
        <v>109</v>
      </c>
      <c r="C3" s="94" t="s">
        <v>190</v>
      </c>
      <c r="D3" s="95" t="s">
        <v>191</v>
      </c>
    </row>
    <row r="4" spans="2:8" x14ac:dyDescent="0.3">
      <c r="B4" s="80" t="s">
        <v>67</v>
      </c>
      <c r="C4" s="99">
        <v>129.32900000000001</v>
      </c>
      <c r="D4" s="92">
        <f>C4*10.7639+0.02</f>
        <v>1392.1044231000001</v>
      </c>
    </row>
    <row r="5" spans="2:8" x14ac:dyDescent="0.3">
      <c r="B5" s="76" t="s">
        <v>69</v>
      </c>
      <c r="C5" s="38">
        <v>1498.33</v>
      </c>
      <c r="D5" s="58">
        <f>C5*10.7639+0.13</f>
        <v>16128.004286999998</v>
      </c>
    </row>
    <row r="6" spans="2:8" x14ac:dyDescent="0.3">
      <c r="B6" s="76" t="s">
        <v>184</v>
      </c>
      <c r="C6" s="38">
        <v>138.42400000000001</v>
      </c>
      <c r="D6" s="58">
        <f>C6*10.7639+0.02</f>
        <v>1490.0020936000001</v>
      </c>
    </row>
    <row r="7" spans="2:8" x14ac:dyDescent="0.3">
      <c r="B7" s="43" t="s">
        <v>70</v>
      </c>
      <c r="C7" s="11">
        <f>C5+C6</f>
        <v>1636.7539999999999</v>
      </c>
      <c r="D7" s="66">
        <f>C7*10.7639</f>
        <v>17617.856380599998</v>
      </c>
    </row>
    <row r="8" spans="2:8" x14ac:dyDescent="0.3">
      <c r="B8" s="43" t="s">
        <v>71</v>
      </c>
      <c r="C8" s="11">
        <f>+C7*1.2-0.002236</f>
        <v>1964.1025639999998</v>
      </c>
      <c r="D8" s="66">
        <f>C8*10.7639</f>
        <v>21141.403588639598</v>
      </c>
    </row>
    <row r="9" spans="2:8" x14ac:dyDescent="0.3">
      <c r="B9" s="43" t="s">
        <v>206</v>
      </c>
      <c r="C9" s="11">
        <f>C8*0.45</f>
        <v>883.84615379999991</v>
      </c>
      <c r="D9" s="66">
        <f>C9*10.7639</f>
        <v>9513.6316148878195</v>
      </c>
    </row>
    <row r="10" spans="2:8" ht="15" thickBot="1" x14ac:dyDescent="0.35">
      <c r="B10" s="47" t="s">
        <v>80</v>
      </c>
      <c r="C10" s="98">
        <f>C8+C9</f>
        <v>2847.9487177999999</v>
      </c>
      <c r="D10" s="79">
        <f>C10*10.7639</f>
        <v>30655.035203527419</v>
      </c>
    </row>
    <row r="12" spans="2:8" ht="15" thickBot="1" x14ac:dyDescent="0.35">
      <c r="B12" s="4" t="s">
        <v>209</v>
      </c>
    </row>
    <row r="13" spans="2:8" ht="15" thickBot="1" x14ac:dyDescent="0.35">
      <c r="B13" s="51" t="s">
        <v>109</v>
      </c>
      <c r="C13" s="55" t="s">
        <v>190</v>
      </c>
      <c r="D13" s="55" t="s">
        <v>191</v>
      </c>
      <c r="E13" s="96" t="s">
        <v>193</v>
      </c>
      <c r="F13" s="96" t="s">
        <v>205</v>
      </c>
      <c r="G13" s="55" t="s">
        <v>194</v>
      </c>
      <c r="H13" s="97" t="s">
        <v>195</v>
      </c>
    </row>
    <row r="14" spans="2:8" x14ac:dyDescent="0.3">
      <c r="B14" s="80" t="s">
        <v>129</v>
      </c>
      <c r="C14" s="57">
        <v>0</v>
      </c>
      <c r="D14" s="57">
        <f>'Area &amp; Cmpsn to Exstng Mmbr'!D7+0.14</f>
        <v>17617.996380599998</v>
      </c>
      <c r="E14" s="91">
        <v>0</v>
      </c>
      <c r="F14" s="91">
        <v>0</v>
      </c>
      <c r="G14" s="57">
        <v>1500</v>
      </c>
      <c r="H14" s="92">
        <f>D14*G14</f>
        <v>26426994.570899997</v>
      </c>
    </row>
    <row r="15" spans="2:8" x14ac:dyDescent="0.3">
      <c r="B15" s="76" t="s">
        <v>130</v>
      </c>
      <c r="C15" s="10">
        <f>'Feasibility Report'!N103</f>
        <v>1498.33</v>
      </c>
      <c r="D15" s="10">
        <f>C15*10.7639+0.13</f>
        <v>16128.004286999998</v>
      </c>
      <c r="E15" s="74">
        <v>0</v>
      </c>
      <c r="F15" s="74">
        <v>36</v>
      </c>
      <c r="G15" s="10">
        <v>125</v>
      </c>
      <c r="H15" s="58">
        <f>D15*F15*G15</f>
        <v>72576019.291499987</v>
      </c>
    </row>
    <row r="16" spans="2:8" x14ac:dyDescent="0.3">
      <c r="B16" s="76" t="s">
        <v>54</v>
      </c>
      <c r="C16" s="10">
        <v>138.42400000000001</v>
      </c>
      <c r="D16" s="10">
        <v>1490.0020936000001</v>
      </c>
      <c r="E16" s="74">
        <v>0</v>
      </c>
      <c r="F16" s="74">
        <v>36</v>
      </c>
      <c r="G16" s="10">
        <v>200</v>
      </c>
      <c r="H16" s="58">
        <f>D16*F16*G16</f>
        <v>10728015.07392</v>
      </c>
    </row>
    <row r="17" spans="2:8" x14ac:dyDescent="0.3">
      <c r="B17" s="76" t="s">
        <v>131</v>
      </c>
      <c r="C17" s="10">
        <v>0</v>
      </c>
      <c r="D17" s="10">
        <v>17617.996380599998</v>
      </c>
      <c r="E17" s="74">
        <v>0</v>
      </c>
      <c r="F17" s="102">
        <v>1</v>
      </c>
      <c r="G17" s="35">
        <v>125</v>
      </c>
      <c r="H17" s="58">
        <f>D17*F17*G17</f>
        <v>2202249.5475749997</v>
      </c>
    </row>
    <row r="18" spans="2:8" x14ac:dyDescent="0.3">
      <c r="B18" s="76" t="s">
        <v>180</v>
      </c>
      <c r="C18" s="10">
        <v>0</v>
      </c>
      <c r="D18" s="10">
        <v>0</v>
      </c>
      <c r="E18" s="74">
        <v>37</v>
      </c>
      <c r="F18" s="74">
        <v>0</v>
      </c>
      <c r="G18" s="10">
        <v>30000</v>
      </c>
      <c r="H18" s="58">
        <f>E18*G18</f>
        <v>1110000</v>
      </c>
    </row>
    <row r="19" spans="2:8" ht="15" thickBot="1" x14ac:dyDescent="0.35">
      <c r="B19" s="47" t="s">
        <v>62</v>
      </c>
      <c r="C19" s="54"/>
      <c r="D19" s="54"/>
      <c r="E19" s="89"/>
      <c r="F19" s="54"/>
      <c r="G19" s="54"/>
      <c r="H19" s="90">
        <f>SUM(H14:H18)</f>
        <v>113043278.48389497</v>
      </c>
    </row>
    <row r="20" spans="2:8" x14ac:dyDescent="0.3">
      <c r="D20" s="83"/>
    </row>
    <row r="21" spans="2:8" x14ac:dyDescent="0.3">
      <c r="D21" s="83"/>
    </row>
    <row r="24" spans="2:8" ht="57.6" x14ac:dyDescent="0.3">
      <c r="E24" s="74" t="s">
        <v>195</v>
      </c>
      <c r="F24" s="75" t="s">
        <v>179</v>
      </c>
      <c r="G24" s="75" t="s">
        <v>203</v>
      </c>
      <c r="H24" s="75" t="s">
        <v>200</v>
      </c>
    </row>
    <row r="25" spans="2:8" x14ac:dyDescent="0.3">
      <c r="E25" s="74">
        <v>1912819383.8352382</v>
      </c>
      <c r="F25" s="10">
        <v>70000000</v>
      </c>
      <c r="G25" s="10">
        <v>150000000</v>
      </c>
      <c r="H25" s="10">
        <f>E25-F25-G25</f>
        <v>1692819383.8352382</v>
      </c>
    </row>
    <row r="27" spans="2:8" ht="15" thickBot="1" x14ac:dyDescent="0.35">
      <c r="B27" s="4" t="s">
        <v>197</v>
      </c>
    </row>
    <row r="28" spans="2:8" ht="15" thickBot="1" x14ac:dyDescent="0.35">
      <c r="B28" s="51" t="s">
        <v>109</v>
      </c>
      <c r="C28" s="82" t="s">
        <v>108</v>
      </c>
      <c r="E28" s="12"/>
      <c r="F28"/>
      <c r="G28"/>
    </row>
    <row r="29" spans="2:8" x14ac:dyDescent="0.3">
      <c r="B29" s="80" t="s">
        <v>116</v>
      </c>
      <c r="C29" s="81">
        <v>18362349.162000004</v>
      </c>
      <c r="E29" s="12"/>
      <c r="F29"/>
      <c r="G29"/>
    </row>
    <row r="30" spans="2:8" x14ac:dyDescent="0.3">
      <c r="B30" s="76" t="s">
        <v>117</v>
      </c>
      <c r="C30" s="77">
        <v>56167185.672000013</v>
      </c>
      <c r="E30" s="12"/>
      <c r="F30"/>
      <c r="G30"/>
    </row>
    <row r="31" spans="2:8" x14ac:dyDescent="0.3">
      <c r="B31" s="76" t="s">
        <v>146</v>
      </c>
      <c r="C31" s="77">
        <v>2235886.0450200005</v>
      </c>
      <c r="E31" s="12"/>
      <c r="F31"/>
      <c r="G31"/>
    </row>
    <row r="32" spans="2:8" x14ac:dyDescent="0.3">
      <c r="B32" s="76" t="s">
        <v>147</v>
      </c>
      <c r="C32" s="77">
        <v>44922505.5</v>
      </c>
      <c r="E32" s="12"/>
      <c r="F32"/>
      <c r="G32"/>
    </row>
    <row r="33" spans="2:7" x14ac:dyDescent="0.3">
      <c r="B33" s="76" t="s">
        <v>198</v>
      </c>
      <c r="C33" s="77">
        <f>SUM('Feasibility Report'!T75:T97)</f>
        <v>297442720.10956395</v>
      </c>
      <c r="E33" s="12"/>
      <c r="F33"/>
      <c r="G33"/>
    </row>
    <row r="34" spans="2:7" x14ac:dyDescent="0.3">
      <c r="B34" s="76" t="s">
        <v>199</v>
      </c>
      <c r="C34" s="77">
        <f>(H25-SUM(C29:C33))/3</f>
        <v>424562912.44888473</v>
      </c>
      <c r="E34" s="12"/>
      <c r="F34"/>
      <c r="G34"/>
    </row>
    <row r="35" spans="2:7" x14ac:dyDescent="0.3">
      <c r="B35" s="76" t="s">
        <v>179</v>
      </c>
      <c r="C35" s="77">
        <f>'Feasibility Report'!T116*0.04</f>
        <v>121907401.21734518</v>
      </c>
      <c r="E35" s="12"/>
      <c r="F35"/>
      <c r="G35"/>
    </row>
    <row r="36" spans="2:7" x14ac:dyDescent="0.3">
      <c r="B36" s="76"/>
      <c r="C36" s="77">
        <f>SUM(C29:C35)</f>
        <v>965600960.154814</v>
      </c>
      <c r="E36" s="12"/>
      <c r="F36"/>
      <c r="G36"/>
    </row>
    <row r="37" spans="2:7" x14ac:dyDescent="0.3">
      <c r="B37" s="76"/>
      <c r="C37" s="58"/>
    </row>
    <row r="38" spans="2:7" ht="15" thickBot="1" x14ac:dyDescent="0.35">
      <c r="B38" s="78" t="s">
        <v>201</v>
      </c>
      <c r="C38" s="79">
        <f>C36*0.12</f>
        <v>115872115.21857768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P&amp;L</vt:lpstr>
      <vt:lpstr>Feasibility Report</vt:lpstr>
      <vt:lpstr>Area &amp; Cmpsn to Exstng Mmbr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HP HP</cp:lastModifiedBy>
  <dcterms:created xsi:type="dcterms:W3CDTF">2015-06-05T18:17:20Z</dcterms:created>
  <dcterms:modified xsi:type="dcterms:W3CDTF">2026-08-11T10:42:36Z</dcterms:modified>
</cp:coreProperties>
</file>